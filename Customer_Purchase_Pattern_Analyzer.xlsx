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D:\IIT Delhi\Data Analyst Projects\customer purchase pattern analyzer\workbook\"/>
    </mc:Choice>
  </mc:AlternateContent>
  <xr:revisionPtr revIDLastSave="0" documentId="13_ncr:1_{76DA971F-3AC6-41D2-96B2-6B6D5EC04B06}" xr6:coauthVersionLast="47" xr6:coauthVersionMax="47" xr10:uidLastSave="{00000000-0000-0000-0000-000000000000}"/>
  <bookViews>
    <workbookView xWindow="-108" yWindow="-108" windowWidth="23256" windowHeight="12456" xr2:uid="{5083D99B-1E98-4E4C-A586-14CF52B3885A}"/>
  </bookViews>
  <sheets>
    <sheet name="Dashboard" sheetId="3" r:id="rId1"/>
    <sheet name="Data" sheetId="1" r:id="rId2"/>
    <sheet name="Calc" sheetId="2" r:id="rId3"/>
  </sheets>
  <definedNames>
    <definedName name="Slicer_Customer_Segment">#N/A</definedName>
    <definedName name="Slicer_Loyalty_Status">#N/A</definedName>
    <definedName name="Slicer_Product_Category">#N/A</definedName>
    <definedName name="Slicer_Region">#N/A</definedName>
    <definedName name="TimelinePD">#N/A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3" l="1"/>
  <c r="H7" i="3"/>
  <c r="F7" i="3"/>
  <c r="D7" i="3"/>
  <c r="B7" i="3"/>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alcChain>
</file>

<file path=xl/sharedStrings.xml><?xml version="1.0" encoding="utf-8"?>
<sst xmlns="http://schemas.openxmlformats.org/spreadsheetml/2006/main" count="2718" uniqueCount="214">
  <si>
    <t>Customer ID</t>
  </si>
  <si>
    <t>Customer Name</t>
  </si>
  <si>
    <t>Age</t>
  </si>
  <si>
    <t>Gender</t>
  </si>
  <si>
    <t>City</t>
  </si>
  <si>
    <t>Region</t>
  </si>
  <si>
    <t>Occupation</t>
  </si>
  <si>
    <t>Product Category</t>
  </si>
  <si>
    <t>Product Name</t>
  </si>
  <si>
    <t>Purchase Date</t>
  </si>
  <si>
    <t>Quantity Purchased</t>
  </si>
  <si>
    <t>Unit Price</t>
  </si>
  <si>
    <t>Total Purchase Value</t>
  </si>
  <si>
    <t>Payment Method</t>
  </si>
  <si>
    <t>Purchase Channel</t>
  </si>
  <si>
    <t>Customer Segment</t>
  </si>
  <si>
    <t>Loyalty Status</t>
  </si>
  <si>
    <t>Discount Used</t>
  </si>
  <si>
    <t>Purchase Frequency</t>
  </si>
  <si>
    <t>Last Purchase Date</t>
  </si>
  <si>
    <t>C039</t>
  </si>
  <si>
    <t>Sai Patel</t>
  </si>
  <si>
    <t>Male</t>
  </si>
  <si>
    <t>Bengaluru</t>
  </si>
  <si>
    <t>South</t>
  </si>
  <si>
    <t>Sales Manager</t>
  </si>
  <si>
    <t>Fashion</t>
  </si>
  <si>
    <t>Cotton Kurta</t>
  </si>
  <si>
    <t>UPI</t>
  </si>
  <si>
    <t>In-Store</t>
  </si>
  <si>
    <t>Regular</t>
  </si>
  <si>
    <t>Gold</t>
  </si>
  <si>
    <t>No</t>
  </si>
  <si>
    <t>C057</t>
  </si>
  <si>
    <t>Rohan Iyer</t>
  </si>
  <si>
    <t>Female</t>
  </si>
  <si>
    <t>Guwahati</t>
  </si>
  <si>
    <t>East</t>
  </si>
  <si>
    <t>Doctor</t>
  </si>
  <si>
    <t>Sports</t>
  </si>
  <si>
    <t>Football</t>
  </si>
  <si>
    <t>Credit Card</t>
  </si>
  <si>
    <t>Website</t>
  </si>
  <si>
    <t>Budget</t>
  </si>
  <si>
    <t>Silver</t>
  </si>
  <si>
    <t>Yes</t>
  </si>
  <si>
    <t>C027</t>
  </si>
  <si>
    <t>Anika Khan</t>
  </si>
  <si>
    <t>Lucknow</t>
  </si>
  <si>
    <t>North</t>
  </si>
  <si>
    <t>Designer</t>
  </si>
  <si>
    <t>Electronics</t>
  </si>
  <si>
    <t>Laptop</t>
  </si>
  <si>
    <t>Mobile App</t>
  </si>
  <si>
    <t>Premium</t>
  </si>
  <si>
    <t>C004</t>
  </si>
  <si>
    <t>Aadhya Khan</t>
  </si>
  <si>
    <t>Patna</t>
  </si>
  <si>
    <t>Retired</t>
  </si>
  <si>
    <t>Smartwatch</t>
  </si>
  <si>
    <t>Handbag</t>
  </si>
  <si>
    <t>Debit Card</t>
  </si>
  <si>
    <t>C025</t>
  </si>
  <si>
    <t>Neha Sharma</t>
  </si>
  <si>
    <t>Software Engineer</t>
  </si>
  <si>
    <t>C060</t>
  </si>
  <si>
    <t>Meera Gupta</t>
  </si>
  <si>
    <t>Running Shoes</t>
  </si>
  <si>
    <t>Net Banking</t>
  </si>
  <si>
    <t>C003</t>
  </si>
  <si>
    <t>Dhruv Mehta</t>
  </si>
  <si>
    <t>Kochi</t>
  </si>
  <si>
    <t>Teacher</t>
  </si>
  <si>
    <t>Groceries</t>
  </si>
  <si>
    <t>Olive Oil</t>
  </si>
  <si>
    <t>C037</t>
  </si>
  <si>
    <t>Aditya Patel</t>
  </si>
  <si>
    <t>Jaipur</t>
  </si>
  <si>
    <t>Student</t>
  </si>
  <si>
    <t>Wireless Earbuds</t>
  </si>
  <si>
    <t>C007</t>
  </si>
  <si>
    <t>Aryan Nair</t>
  </si>
  <si>
    <t>Home &amp; Kitchen</t>
  </si>
  <si>
    <t>Mixer Grinder</t>
  </si>
  <si>
    <t>C018</t>
  </si>
  <si>
    <t>Aarav Joshi</t>
  </si>
  <si>
    <t>Kolkata</t>
  </si>
  <si>
    <t>Cricket Bat</t>
  </si>
  <si>
    <t>C041</t>
  </si>
  <si>
    <t>Navya Verma</t>
  </si>
  <si>
    <t>Coffee Pack</t>
  </si>
  <si>
    <t>C053</t>
  </si>
  <si>
    <t>Ishaan Iyer</t>
  </si>
  <si>
    <t>Beauty</t>
  </si>
  <si>
    <t>Sunscreen</t>
  </si>
  <si>
    <t>C052</t>
  </si>
  <si>
    <t>Anika Nair</t>
  </si>
  <si>
    <t>Mumbai</t>
  </si>
  <si>
    <t>West</t>
  </si>
  <si>
    <t>Cash on Delivery</t>
  </si>
  <si>
    <t>C010</t>
  </si>
  <si>
    <t>Vivaan Singh</t>
  </si>
  <si>
    <t>Surat</t>
  </si>
  <si>
    <t>C029</t>
  </si>
  <si>
    <t>Aarav Verma</t>
  </si>
  <si>
    <t>Pune</t>
  </si>
  <si>
    <t>Bronze</t>
  </si>
  <si>
    <t>C034</t>
  </si>
  <si>
    <t>Pooja Reddy</t>
  </si>
  <si>
    <t>Cookware Set</t>
  </si>
  <si>
    <t>Denim Jacket</t>
  </si>
  <si>
    <t>C009</t>
  </si>
  <si>
    <t>Atharv Joshi</t>
  </si>
  <si>
    <t>Hyderabad</t>
  </si>
  <si>
    <t>Bed Sheet Set</t>
  </si>
  <si>
    <t>C017</t>
  </si>
  <si>
    <t>Kabir Das</t>
  </si>
  <si>
    <t>Chandigarh</t>
  </si>
  <si>
    <t>Yoga Mat</t>
  </si>
  <si>
    <t>C055</t>
  </si>
  <si>
    <t>Reyansh Iyer</t>
  </si>
  <si>
    <t>Accountant</t>
  </si>
  <si>
    <t>Basmati Rice 5kg</t>
  </si>
  <si>
    <t>Smartphone</t>
  </si>
  <si>
    <t>C012</t>
  </si>
  <si>
    <t>Diya Verma</t>
  </si>
  <si>
    <t>Bhubaneswar</t>
  </si>
  <si>
    <t>C030</t>
  </si>
  <si>
    <t>Aadhya Mehta</t>
  </si>
  <si>
    <t>Fitness Band</t>
  </si>
  <si>
    <t>C026</t>
  </si>
  <si>
    <t>Ishaan Bose</t>
  </si>
  <si>
    <t>C054</t>
  </si>
  <si>
    <t>Atharv Nair</t>
  </si>
  <si>
    <t>C056</t>
  </si>
  <si>
    <t>Diya Nair</t>
  </si>
  <si>
    <t>Consultant</t>
  </si>
  <si>
    <t>Dry Fruits Box</t>
  </si>
  <si>
    <t>C051</t>
  </si>
  <si>
    <t>Aryan Sharma</t>
  </si>
  <si>
    <t>Water Bottle</t>
  </si>
  <si>
    <t>C021</t>
  </si>
  <si>
    <t>C002</t>
  </si>
  <si>
    <t>Kabir Iyer</t>
  </si>
  <si>
    <t>Dumbbell Set</t>
  </si>
  <si>
    <t>C020</t>
  </si>
  <si>
    <t>Navya Sharma</t>
  </si>
  <si>
    <t>C008</t>
  </si>
  <si>
    <t>Ananya Verma</t>
  </si>
  <si>
    <t>Lipstick</t>
  </si>
  <si>
    <t>Bluetooth Speaker</t>
  </si>
  <si>
    <t>Green Tea</t>
  </si>
  <si>
    <t>C046</t>
  </si>
  <si>
    <t>Aarav Gupta</t>
  </si>
  <si>
    <t>C059</t>
  </si>
  <si>
    <t>Arjun Khan</t>
  </si>
  <si>
    <t>C014</t>
  </si>
  <si>
    <t>Kabir Kapoor</t>
  </si>
  <si>
    <t>Chennai</t>
  </si>
  <si>
    <t>Shampoo</t>
  </si>
  <si>
    <t>C022</t>
  </si>
  <si>
    <t>Dhruv Singh</t>
  </si>
  <si>
    <t>C031</t>
  </si>
  <si>
    <t>Perfume</t>
  </si>
  <si>
    <t>C011</t>
  </si>
  <si>
    <t>Dhruv Reddy</t>
  </si>
  <si>
    <t>Business Owner</t>
  </si>
  <si>
    <t>C044</t>
  </si>
  <si>
    <t>Navya Joshi</t>
  </si>
  <si>
    <t>C028</t>
  </si>
  <si>
    <t>Saanvi Patel</t>
  </si>
  <si>
    <t>Ahmedabad</t>
  </si>
  <si>
    <t>C049</t>
  </si>
  <si>
    <t>Riya Rao</t>
  </si>
  <si>
    <t>Table Lamp</t>
  </si>
  <si>
    <t>C005</t>
  </si>
  <si>
    <t>Pari Patel</t>
  </si>
  <si>
    <t>C013</t>
  </si>
  <si>
    <t>Vihaan Mehta</t>
  </si>
  <si>
    <t>C038</t>
  </si>
  <si>
    <t>Reyansh Mehta</t>
  </si>
  <si>
    <t>Sunglasses</t>
  </si>
  <si>
    <t>Face Serum</t>
  </si>
  <si>
    <t>C019</t>
  </si>
  <si>
    <t>Ayaan Nair</t>
  </si>
  <si>
    <t>C043</t>
  </si>
  <si>
    <t>Rohan Das</t>
  </si>
  <si>
    <t>C023</t>
  </si>
  <si>
    <t>Anika Joshi</t>
  </si>
  <si>
    <t>C001</t>
  </si>
  <si>
    <t>Atharv Das</t>
  </si>
  <si>
    <t>C033</t>
  </si>
  <si>
    <t>Ananya Kapoor</t>
  </si>
  <si>
    <t>Month</t>
  </si>
  <si>
    <t>Age Group</t>
  </si>
  <si>
    <t>Row Labels</t>
  </si>
  <si>
    <t>2024-12</t>
  </si>
  <si>
    <t>Grand Total</t>
  </si>
  <si>
    <t>Total Total Purchase Value</t>
  </si>
  <si>
    <t>25-34</t>
  </si>
  <si>
    <t>35-44</t>
  </si>
  <si>
    <t>45-54</t>
  </si>
  <si>
    <t>55+</t>
  </si>
  <si>
    <t>Count Customer ID</t>
  </si>
  <si>
    <t>Column Labels</t>
  </si>
  <si>
    <t>Heat Revenue</t>
  </si>
  <si>
    <t>CUSTOMER PURCHASE PATTERN ANALYZER</t>
  </si>
  <si>
    <t>Customer buying behaviour, spending trends &amp; retention insights  |  FY2024</t>
  </si>
  <si>
    <t>TOTAL REVENUE</t>
  </si>
  <si>
    <t>UNIQUE CUSTOMERS</t>
  </si>
  <si>
    <t>AVG ORDER VALUE</t>
  </si>
  <si>
    <t>REPEAT PURCHASE RATE</t>
  </si>
  <si>
    <t>AVG CLV (BASIC)</t>
  </si>
  <si>
    <t>Revenue Heatmap: Region x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</si>
</sst>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sz val="11"/>
      <color theme="1"/>
      <name val="Segoe UI"/>
      <family val="2"/>
    </font>
    <font>
      <b/>
      <sz val="22"/>
      <color rgb="FFFFFFFF"/>
      <name val="Segoe UI"/>
      <family val="2"/>
    </font>
    <font>
      <i/>
      <sz val="11"/>
      <color rgb="FF7F8C8D"/>
      <name val="Segoe UI"/>
      <family val="2"/>
    </font>
    <font>
      <sz val="9"/>
      <color theme="1"/>
      <name val="Segoe UI"/>
      <family val="2"/>
    </font>
    <font>
      <b/>
      <sz val="9"/>
      <color rgb="FFFFFFFF"/>
      <name val="Segoe UI"/>
      <family val="2"/>
    </font>
    <font>
      <b/>
      <sz val="20"/>
      <color rgb="FF1F3A5F"/>
      <name val="Segoe UI"/>
      <family val="2"/>
    </font>
    <font>
      <b/>
      <sz val="20"/>
      <color rgb="FF2E86C1"/>
      <name val="Segoe UI"/>
      <family val="2"/>
    </font>
    <font>
      <b/>
      <sz val="20"/>
      <color rgb="FF17A589"/>
      <name val="Segoe UI"/>
      <family val="2"/>
    </font>
    <font>
      <b/>
      <sz val="20"/>
      <color rgb="FFF39C12"/>
      <name val="Segoe UI"/>
      <family val="2"/>
    </font>
    <font>
      <b/>
      <sz val="20"/>
      <color rgb="FFC0392B"/>
      <name val="Segoe UI"/>
      <family val="2"/>
    </font>
    <font>
      <b/>
      <sz val="11"/>
      <color rgb="FF1F3A5F"/>
      <name val="Segoe UI"/>
      <family val="2"/>
    </font>
  </fonts>
  <fills count="9">
    <fill>
      <patternFill patternType="none"/>
    </fill>
    <fill>
      <patternFill patternType="gray125"/>
    </fill>
    <fill>
      <patternFill patternType="solid">
        <fgColor rgb="FFFFFFFF"/>
        <bgColor indexed="64"/>
      </patternFill>
    </fill>
    <fill>
      <patternFill patternType="solid">
        <fgColor rgb="FF1F3A5F"/>
        <bgColor indexed="64"/>
      </patternFill>
    </fill>
    <fill>
      <patternFill patternType="solid">
        <fgColor rgb="FFEAF2F8"/>
        <bgColor indexed="64"/>
      </patternFill>
    </fill>
    <fill>
      <patternFill patternType="solid">
        <fgColor rgb="FF2E86C1"/>
        <bgColor indexed="64"/>
      </patternFill>
    </fill>
    <fill>
      <patternFill patternType="solid">
        <fgColor rgb="FF17A589"/>
        <bgColor indexed="64"/>
      </patternFill>
    </fill>
    <fill>
      <patternFill patternType="solid">
        <fgColor rgb="FFF39C12"/>
        <bgColor indexed="64"/>
      </patternFill>
    </fill>
    <fill>
      <patternFill patternType="solid">
        <fgColor rgb="FFC0392B"/>
        <bgColor indexed="64"/>
      </patternFill>
    </fill>
  </fills>
  <borders count="1">
    <border>
      <left/>
      <right/>
      <top/>
      <bottom/>
      <diagonal/>
    </border>
  </borders>
  <cellStyleXfs count="1">
    <xf numFmtId="0" fontId="0" fillId="0" borderId="0"/>
  </cellStyleXfs>
  <cellXfs count="23">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0" fontId="11" fillId="2" borderId="0" xfId="0" applyFont="1" applyFill="1"/>
    <xf numFmtId="3" fontId="4" fillId="2" borderId="0" xfId="0" applyNumberFormat="1" applyFont="1" applyFill="1"/>
    <xf numFmtId="0" fontId="5" fillId="8" borderId="0" xfId="0" applyFont="1" applyFill="1" applyAlignment="1">
      <alignment horizontal="center" vertical="center"/>
    </xf>
    <xf numFmtId="0" fontId="1" fillId="2" borderId="0" xfId="0" applyFont="1" applyFill="1" applyAlignment="1">
      <alignment horizontal="center" vertical="center"/>
    </xf>
    <xf numFmtId="0" fontId="10" fillId="4" borderId="0" xfId="0" applyFont="1" applyFill="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xf>
    <xf numFmtId="0" fontId="1" fillId="2" borderId="0" xfId="0" applyFont="1" applyFill="1" applyAlignment="1">
      <alignment horizontal="center"/>
    </xf>
    <xf numFmtId="0" fontId="5" fillId="3" borderId="0" xfId="0" applyFont="1" applyFill="1" applyAlignment="1">
      <alignment horizontal="center" vertical="center"/>
    </xf>
    <xf numFmtId="0" fontId="6" fillId="4" borderId="0" xfId="0" applyFont="1" applyFill="1" applyAlignment="1">
      <alignment horizontal="center" vertical="center"/>
    </xf>
    <xf numFmtId="0" fontId="5" fillId="5" borderId="0" xfId="0" applyFont="1" applyFill="1" applyAlignment="1">
      <alignment horizontal="center" vertical="center"/>
    </xf>
    <xf numFmtId="0" fontId="7" fillId="4" borderId="0" xfId="0" applyFont="1" applyFill="1" applyAlignment="1">
      <alignment horizontal="center" vertical="center"/>
    </xf>
    <xf numFmtId="0" fontId="5" fillId="6" borderId="0" xfId="0" applyFont="1" applyFill="1" applyAlignment="1">
      <alignment horizontal="center" vertical="center"/>
    </xf>
    <xf numFmtId="0" fontId="8" fillId="4" borderId="0" xfId="0" applyFont="1" applyFill="1" applyAlignment="1">
      <alignment horizontal="center" vertical="center"/>
    </xf>
    <xf numFmtId="0" fontId="5" fillId="7" borderId="0" xfId="0" applyFont="1" applyFill="1" applyAlignment="1">
      <alignment horizontal="center" vertical="center"/>
    </xf>
    <xf numFmtId="0" fontId="9" fillId="4" borderId="0" xfId="0" applyFont="1" applyFill="1" applyAlignment="1">
      <alignment horizontal="center" vertical="center"/>
    </xf>
  </cellXfs>
  <cellStyles count="1">
    <cellStyle name="Normal" xfId="0" builtinId="0"/>
  </cellStyles>
  <dxfs count="6">
    <dxf>
      <numFmt numFmtId="164" formatCode="yyyy/mm/dd"/>
    </dxf>
    <dxf>
      <numFmt numFmtId="164" formatCode="yyyy/mm/dd"/>
    </dxf>
    <dxf>
      <numFmt numFmtId="164" formatCode="yyyy/mm/dd"/>
    </dxf>
    <dxf>
      <numFmt numFmtId="3" formatCode="#,##0"/>
    </dxf>
    <dxf>
      <numFmt numFmtId="3" formatCode="#,##0"/>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[Customer_Purchase_Pattern_Analyzer.xlsx]Calc!ptMonth</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Revenue Trend by Month</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Calc!$B$1</c:f>
              <c:strCache>
                <c:ptCount val="1"/>
                <c:pt idx="0">
                  <c:v>Total</c:v>
                </c:pt>
              </c:strCache>
            </c:strRef>
          </c:tx>
          <c:spPr>
            <a:ln w="28575" cap="rnd">
              <a:solidFill>
                <a:schemeClr val="accent1"/>
              </a:solidFill>
              <a:round/>
            </a:ln>
            <a:effectLst/>
          </c:spPr>
          <c:marker>
            <c:symbol val="none"/>
          </c:marker>
          <c:cat>
            <c:strRef>
              <c:f>Calc!$A$2:$A$3</c:f>
              <c:strCache>
                <c:ptCount val="1"/>
                <c:pt idx="0">
                  <c:v>2024-12</c:v>
                </c:pt>
              </c:strCache>
            </c:strRef>
          </c:cat>
          <c:val>
            <c:numRef>
              <c:f>Calc!$B$2:$B$3</c:f>
              <c:numCache>
                <c:formatCode>#,##0</c:formatCode>
                <c:ptCount val="1"/>
                <c:pt idx="0">
                  <c:v>308462.09999999998</c:v>
                </c:pt>
              </c:numCache>
            </c:numRef>
          </c:val>
          <c:smooth val="0"/>
          <c:extLst>
            <c:ext xmlns:c16="http://schemas.microsoft.com/office/drawing/2014/chart" uri="{C3380CC4-5D6E-409C-BE32-E72D297353CC}">
              <c16:uniqueId val="{00000003-613C-4BB1-A03A-6316C2F38F35}"/>
            </c:ext>
          </c:extLst>
        </c:ser>
        <c:dLbls>
          <c:showLegendKey val="0"/>
          <c:showVal val="0"/>
          <c:showCatName val="0"/>
          <c:showSerName val="0"/>
          <c:showPercent val="0"/>
          <c:showBubbleSize val="0"/>
        </c:dLbls>
        <c:smooth val="0"/>
        <c:axId val="603653568"/>
        <c:axId val="606168368"/>
      </c:lineChart>
      <c:catAx>
        <c:axId val="6036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68368"/>
        <c:crosses val="autoZero"/>
        <c:auto val="1"/>
        <c:lblAlgn val="ctr"/>
        <c:lblOffset val="100"/>
        <c:noMultiLvlLbl val="0"/>
      </c:catAx>
      <c:valAx>
        <c:axId val="60616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5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[Customer_Purchase_Pattern_Analyzer.xlsx]Calc!ptCat</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Revenue by Product 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Calc!$E$1</c:f>
              <c:strCache>
                <c:ptCount val="1"/>
                <c:pt idx="0">
                  <c:v>Total</c:v>
                </c:pt>
              </c:strCache>
            </c:strRef>
          </c:tx>
          <c:spPr>
            <a:solidFill>
              <a:schemeClr val="accent1"/>
            </a:solidFill>
            <a:ln>
              <a:noFill/>
            </a:ln>
            <a:effectLst/>
          </c:spPr>
          <c:invertIfNegative val="0"/>
          <c:cat>
            <c:strRef>
              <c:f>Calc!$D$2:$D$7</c:f>
              <c:strCache>
                <c:ptCount val="5"/>
                <c:pt idx="0">
                  <c:v>Electronics</c:v>
                </c:pt>
                <c:pt idx="1">
                  <c:v>Beauty</c:v>
                </c:pt>
                <c:pt idx="2">
                  <c:v>Fashion</c:v>
                </c:pt>
                <c:pt idx="3">
                  <c:v>Sports</c:v>
                </c:pt>
                <c:pt idx="4">
                  <c:v>Groceries</c:v>
                </c:pt>
              </c:strCache>
            </c:strRef>
          </c:cat>
          <c:val>
            <c:numRef>
              <c:f>Calc!$E$2:$E$7</c:f>
              <c:numCache>
                <c:formatCode>#,##0</c:formatCode>
                <c:ptCount val="5"/>
                <c:pt idx="0">
                  <c:v>254167.4</c:v>
                </c:pt>
                <c:pt idx="1">
                  <c:v>19460.25</c:v>
                </c:pt>
                <c:pt idx="2">
                  <c:v>17333</c:v>
                </c:pt>
                <c:pt idx="3">
                  <c:v>14899.45</c:v>
                </c:pt>
                <c:pt idx="4">
                  <c:v>2602</c:v>
                </c:pt>
              </c:numCache>
            </c:numRef>
          </c:val>
          <c:extLst>
            <c:ext xmlns:c16="http://schemas.microsoft.com/office/drawing/2014/chart" uri="{C3380CC4-5D6E-409C-BE32-E72D297353CC}">
              <c16:uniqueId val="{00000003-178C-40B9-BADF-3AF5E105AF07}"/>
            </c:ext>
          </c:extLst>
        </c:ser>
        <c:dLbls>
          <c:showLegendKey val="0"/>
          <c:showVal val="0"/>
          <c:showCatName val="0"/>
          <c:showSerName val="0"/>
          <c:showPercent val="0"/>
          <c:showBubbleSize val="0"/>
        </c:dLbls>
        <c:gapWidth val="60"/>
        <c:axId val="607292720"/>
        <c:axId val="606170288"/>
      </c:barChart>
      <c:catAx>
        <c:axId val="60729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70288"/>
        <c:crosses val="autoZero"/>
        <c:auto val="1"/>
        <c:lblAlgn val="ctr"/>
        <c:lblOffset val="100"/>
        <c:noMultiLvlLbl val="0"/>
      </c:catAx>
      <c:valAx>
        <c:axId val="6061702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9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[Customer_Purchase_Pattern_Analyzer.xlsx]Calc!ptSeg</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Revenue by Customer Segment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Calc!$H$1</c:f>
              <c:strCache>
                <c:ptCount val="1"/>
                <c:pt idx="0">
                  <c:v>Total</c:v>
                </c:pt>
              </c:strCache>
            </c:strRef>
          </c:tx>
          <c:spPr>
            <a:solidFill>
              <a:schemeClr val="accent1"/>
            </a:solidFill>
            <a:ln>
              <a:noFill/>
            </a:ln>
            <a:effectLst/>
          </c:spPr>
          <c:invertIfNegative val="0"/>
          <c:cat>
            <c:strRef>
              <c:f>Calc!$G$2:$G$5</c:f>
              <c:strCache>
                <c:ptCount val="3"/>
                <c:pt idx="0">
                  <c:v>Premium</c:v>
                </c:pt>
                <c:pt idx="1">
                  <c:v>Budget</c:v>
                </c:pt>
                <c:pt idx="2">
                  <c:v>Regular</c:v>
                </c:pt>
              </c:strCache>
            </c:strRef>
          </c:cat>
          <c:val>
            <c:numRef>
              <c:f>Calc!$H$2:$H$5</c:f>
              <c:numCache>
                <c:formatCode>#,##0</c:formatCode>
                <c:ptCount val="3"/>
                <c:pt idx="0">
                  <c:v>250595</c:v>
                </c:pt>
                <c:pt idx="1">
                  <c:v>31886.850000000002</c:v>
                </c:pt>
                <c:pt idx="2">
                  <c:v>25980.25</c:v>
                </c:pt>
              </c:numCache>
            </c:numRef>
          </c:val>
          <c:extLst>
            <c:ext xmlns:c16="http://schemas.microsoft.com/office/drawing/2014/chart" uri="{C3380CC4-5D6E-409C-BE32-E72D297353CC}">
              <c16:uniqueId val="{00000003-0380-48B8-96FB-115D1F426BF9}"/>
            </c:ext>
          </c:extLst>
        </c:ser>
        <c:dLbls>
          <c:showLegendKey val="0"/>
          <c:showVal val="0"/>
          <c:showCatName val="0"/>
          <c:showSerName val="0"/>
          <c:showPercent val="0"/>
          <c:showBubbleSize val="0"/>
        </c:dLbls>
        <c:gapWidth val="60"/>
        <c:overlap val="-27"/>
        <c:axId val="607289936"/>
        <c:axId val="606167888"/>
      </c:barChart>
      <c:catAx>
        <c:axId val="6072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67888"/>
        <c:crosses val="autoZero"/>
        <c:auto val="1"/>
        <c:lblAlgn val="ctr"/>
        <c:lblOffset val="100"/>
        <c:noMultiLvlLbl val="0"/>
      </c:catAx>
      <c:valAx>
        <c:axId val="606167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8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[Customer_Purchase_Pattern_Analyzer.xlsx]Calc!ptRegion</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Calc!$K$1</c:f>
              <c:strCache>
                <c:ptCount val="1"/>
                <c:pt idx="0">
                  <c:v>Total</c:v>
                </c:pt>
              </c:strCache>
            </c:strRef>
          </c:tx>
          <c:spPr>
            <a:solidFill>
              <a:schemeClr val="accent1"/>
            </a:solidFill>
            <a:ln>
              <a:noFill/>
            </a:ln>
            <a:effectLst/>
          </c:spPr>
          <c:invertIfNegative val="0"/>
          <c:cat>
            <c:strRef>
              <c:f>Calc!$J$2:$J$6</c:f>
              <c:strCache>
                <c:ptCount val="4"/>
                <c:pt idx="0">
                  <c:v>West</c:v>
                </c:pt>
                <c:pt idx="1">
                  <c:v>North</c:v>
                </c:pt>
                <c:pt idx="2">
                  <c:v>South</c:v>
                </c:pt>
                <c:pt idx="3">
                  <c:v>East</c:v>
                </c:pt>
              </c:strCache>
            </c:strRef>
          </c:cat>
          <c:val>
            <c:numRef>
              <c:f>Calc!$K$2:$K$6</c:f>
              <c:numCache>
                <c:formatCode>#,##0</c:formatCode>
                <c:ptCount val="4"/>
                <c:pt idx="0">
                  <c:v>142569.44999999998</c:v>
                </c:pt>
                <c:pt idx="1">
                  <c:v>124871</c:v>
                </c:pt>
                <c:pt idx="2">
                  <c:v>33322.65</c:v>
                </c:pt>
                <c:pt idx="3">
                  <c:v>7699</c:v>
                </c:pt>
              </c:numCache>
            </c:numRef>
          </c:val>
          <c:extLst>
            <c:ext xmlns:c16="http://schemas.microsoft.com/office/drawing/2014/chart" uri="{C3380CC4-5D6E-409C-BE32-E72D297353CC}">
              <c16:uniqueId val="{00000003-10C5-4087-81AA-CA4E456CD94E}"/>
            </c:ext>
          </c:extLst>
        </c:ser>
        <c:dLbls>
          <c:showLegendKey val="0"/>
          <c:showVal val="0"/>
          <c:showCatName val="0"/>
          <c:showSerName val="0"/>
          <c:showPercent val="0"/>
          <c:showBubbleSize val="0"/>
        </c:dLbls>
        <c:gapWidth val="60"/>
        <c:overlap val="-27"/>
        <c:axId val="607290400"/>
        <c:axId val="606166448"/>
      </c:barChart>
      <c:catAx>
        <c:axId val="60729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66448"/>
        <c:crosses val="autoZero"/>
        <c:auto val="1"/>
        <c:lblAlgn val="ctr"/>
        <c:lblOffset val="100"/>
        <c:noMultiLvlLbl val="0"/>
      </c:catAx>
      <c:valAx>
        <c:axId val="606166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9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[Customer_Purchase_Pattern_Analyzer.xlsx]Calc!ptTop</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Top 10 Customers by Revenue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Calc!$N$1</c:f>
              <c:strCache>
                <c:ptCount val="1"/>
                <c:pt idx="0">
                  <c:v>Total</c:v>
                </c:pt>
              </c:strCache>
            </c:strRef>
          </c:tx>
          <c:spPr>
            <a:solidFill>
              <a:schemeClr val="accent1"/>
            </a:solidFill>
            <a:ln>
              <a:noFill/>
            </a:ln>
            <a:effectLst/>
          </c:spPr>
          <c:invertIfNegative val="0"/>
          <c:cat>
            <c:strRef>
              <c:f>Calc!$M$2:$M$12</c:f>
              <c:strCache>
                <c:ptCount val="10"/>
                <c:pt idx="0">
                  <c:v>Kabir Das</c:v>
                </c:pt>
                <c:pt idx="1">
                  <c:v>Anika Khan</c:v>
                </c:pt>
                <c:pt idx="2">
                  <c:v>Sai Patel</c:v>
                </c:pt>
                <c:pt idx="3">
                  <c:v>Atharv Joshi</c:v>
                </c:pt>
                <c:pt idx="4">
                  <c:v>Aarav Gupta</c:v>
                </c:pt>
                <c:pt idx="5">
                  <c:v>Aryan Sharma</c:v>
                </c:pt>
                <c:pt idx="6">
                  <c:v>Diya Verma</c:v>
                </c:pt>
                <c:pt idx="7">
                  <c:v>Navya Verma</c:v>
                </c:pt>
                <c:pt idx="8">
                  <c:v>Kabir Kapoor</c:v>
                </c:pt>
                <c:pt idx="9">
                  <c:v>Vivaan Singh</c:v>
                </c:pt>
              </c:strCache>
            </c:strRef>
          </c:cat>
          <c:val>
            <c:numRef>
              <c:f>Calc!$N$2:$N$12</c:f>
              <c:numCache>
                <c:formatCode>#,##0</c:formatCode>
                <c:ptCount val="10"/>
                <c:pt idx="0">
                  <c:v>125216</c:v>
                </c:pt>
                <c:pt idx="1">
                  <c:v>119155</c:v>
                </c:pt>
                <c:pt idx="2">
                  <c:v>16280.2</c:v>
                </c:pt>
                <c:pt idx="3">
                  <c:v>14070</c:v>
                </c:pt>
                <c:pt idx="4">
                  <c:v>8783.9</c:v>
                </c:pt>
                <c:pt idx="5">
                  <c:v>6060.5</c:v>
                </c:pt>
                <c:pt idx="6">
                  <c:v>5913</c:v>
                </c:pt>
                <c:pt idx="7">
                  <c:v>5716</c:v>
                </c:pt>
                <c:pt idx="8">
                  <c:v>2632.45</c:v>
                </c:pt>
                <c:pt idx="9">
                  <c:v>1484</c:v>
                </c:pt>
              </c:numCache>
            </c:numRef>
          </c:val>
          <c:extLst>
            <c:ext xmlns:c16="http://schemas.microsoft.com/office/drawing/2014/chart" uri="{C3380CC4-5D6E-409C-BE32-E72D297353CC}">
              <c16:uniqueId val="{00000003-91A2-4931-A452-65F1EC998FCA}"/>
            </c:ext>
          </c:extLst>
        </c:ser>
        <c:dLbls>
          <c:showLegendKey val="0"/>
          <c:showVal val="0"/>
          <c:showCatName val="0"/>
          <c:showSerName val="0"/>
          <c:showPercent val="0"/>
          <c:showBubbleSize val="0"/>
        </c:dLbls>
        <c:gapWidth val="60"/>
        <c:axId val="608580624"/>
        <c:axId val="606167408"/>
      </c:barChart>
      <c:catAx>
        <c:axId val="60858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67408"/>
        <c:crosses val="autoZero"/>
        <c:auto val="1"/>
        <c:lblAlgn val="ctr"/>
        <c:lblOffset val="100"/>
        <c:noMultiLvlLbl val="0"/>
      </c:catAx>
      <c:valAx>
        <c:axId val="6061674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8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[Customer_Purchase_Pattern_Analyzer.xlsx]Calc!ptPay</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Revenue Share by Payment Method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Calc!$T$1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F7-42B4-A1E6-CABBC5D126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F7-42B4-A1E6-CABBC5D126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F7-42B4-A1E6-CABBC5D126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F7-42B4-A1E6-CABBC5D126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F7-42B4-A1E6-CABBC5D126B2}"/>
              </c:ext>
            </c:extLst>
          </c:dPt>
          <c:cat>
            <c:strRef>
              <c:f>Calc!$S$2:$S$7</c:f>
              <c:strCache>
                <c:ptCount val="5"/>
                <c:pt idx="0">
                  <c:v>UPI</c:v>
                </c:pt>
                <c:pt idx="1">
                  <c:v>Net Banking</c:v>
                </c:pt>
                <c:pt idx="2">
                  <c:v>Debit Card</c:v>
                </c:pt>
                <c:pt idx="3">
                  <c:v>Cash on Delivery</c:v>
                </c:pt>
                <c:pt idx="4">
                  <c:v>Credit Card</c:v>
                </c:pt>
              </c:strCache>
            </c:strRef>
          </c:cat>
          <c:val>
            <c:numRef>
              <c:f>Calc!$T$2:$T$7</c:f>
              <c:numCache>
                <c:formatCode>#,##0</c:formatCode>
                <c:ptCount val="5"/>
                <c:pt idx="0">
                  <c:v>185838.9</c:v>
                </c:pt>
                <c:pt idx="1">
                  <c:v>102224</c:v>
                </c:pt>
                <c:pt idx="2">
                  <c:v>12632.2</c:v>
                </c:pt>
                <c:pt idx="3">
                  <c:v>7427</c:v>
                </c:pt>
                <c:pt idx="4">
                  <c:v>340</c:v>
                </c:pt>
              </c:numCache>
            </c:numRef>
          </c:val>
          <c:extLst>
            <c:ext xmlns:c16="http://schemas.microsoft.com/office/drawing/2014/chart" uri="{C3380CC4-5D6E-409C-BE32-E72D297353CC}">
              <c16:uniqueId val="{00000003-D1E2-4DF9-8A43-04F1244CBCB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[Customer_Purchase_Pattern_Analyzer.xlsx]Calc!ptAge</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Revenue by Age Group</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Calc!$Q$1</c:f>
              <c:strCache>
                <c:ptCount val="1"/>
                <c:pt idx="0">
                  <c:v>Total</c:v>
                </c:pt>
              </c:strCache>
            </c:strRef>
          </c:tx>
          <c:spPr>
            <a:solidFill>
              <a:schemeClr val="accent1"/>
            </a:solidFill>
            <a:ln>
              <a:noFill/>
            </a:ln>
            <a:effectLst/>
          </c:spPr>
          <c:invertIfNegative val="0"/>
          <c:cat>
            <c:strRef>
              <c:f>Calc!$P$2:$P$6</c:f>
              <c:strCache>
                <c:ptCount val="4"/>
                <c:pt idx="0">
                  <c:v>25-34</c:v>
                </c:pt>
                <c:pt idx="1">
                  <c:v>35-44</c:v>
                </c:pt>
                <c:pt idx="2">
                  <c:v>45-54</c:v>
                </c:pt>
                <c:pt idx="3">
                  <c:v>55+</c:v>
                </c:pt>
              </c:strCache>
            </c:strRef>
          </c:cat>
          <c:val>
            <c:numRef>
              <c:f>Calc!$Q$2:$Q$6</c:f>
              <c:numCache>
                <c:formatCode>#,##0</c:formatCode>
                <c:ptCount val="4"/>
                <c:pt idx="0">
                  <c:v>15894</c:v>
                </c:pt>
                <c:pt idx="1">
                  <c:v>133761.45000000001</c:v>
                </c:pt>
                <c:pt idx="2">
                  <c:v>5716</c:v>
                </c:pt>
                <c:pt idx="3">
                  <c:v>153090.65</c:v>
                </c:pt>
              </c:numCache>
            </c:numRef>
          </c:val>
          <c:extLst>
            <c:ext xmlns:c16="http://schemas.microsoft.com/office/drawing/2014/chart" uri="{C3380CC4-5D6E-409C-BE32-E72D297353CC}">
              <c16:uniqueId val="{00000003-35A2-4179-A252-804528F5912B}"/>
            </c:ext>
          </c:extLst>
        </c:ser>
        <c:dLbls>
          <c:showLegendKey val="0"/>
          <c:showVal val="0"/>
          <c:showCatName val="0"/>
          <c:showSerName val="0"/>
          <c:showPercent val="0"/>
          <c:showBubbleSize val="0"/>
        </c:dLbls>
        <c:gapWidth val="60"/>
        <c:overlap val="-27"/>
        <c:axId val="608583872"/>
        <c:axId val="604056016"/>
      </c:barChart>
      <c:catAx>
        <c:axId val="6085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56016"/>
        <c:crosses val="autoZero"/>
        <c:auto val="1"/>
        <c:lblAlgn val="ctr"/>
        <c:lblOffset val="100"/>
        <c:noMultiLvlLbl val="0"/>
      </c:catAx>
      <c:valAx>
        <c:axId val="604056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8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[Customer_Purchase_Pattern_Analyzer.xlsx]Calc!ptFreq</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Customers by Loyalty Tier</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Calc!$W$1</c:f>
              <c:strCache>
                <c:ptCount val="1"/>
                <c:pt idx="0">
                  <c:v>Total</c:v>
                </c:pt>
              </c:strCache>
            </c:strRef>
          </c:tx>
          <c:spPr>
            <a:solidFill>
              <a:schemeClr val="accent1"/>
            </a:solidFill>
            <a:ln>
              <a:noFill/>
            </a:ln>
            <a:effectLst/>
          </c:spPr>
          <c:invertIfNegative val="0"/>
          <c:cat>
            <c:strRef>
              <c:f>Calc!$V$2:$V$5</c:f>
              <c:strCache>
                <c:ptCount val="3"/>
                <c:pt idx="0">
                  <c:v>Gold</c:v>
                </c:pt>
                <c:pt idx="1">
                  <c:v>Silver</c:v>
                </c:pt>
                <c:pt idx="2">
                  <c:v>Bronze</c:v>
                </c:pt>
              </c:strCache>
            </c:strRef>
          </c:cat>
          <c:val>
            <c:numRef>
              <c:f>Calc!$W$2:$W$5</c:f>
              <c:numCache>
                <c:formatCode>General</c:formatCode>
                <c:ptCount val="3"/>
                <c:pt idx="0">
                  <c:v>15</c:v>
                </c:pt>
                <c:pt idx="1">
                  <c:v>4</c:v>
                </c:pt>
                <c:pt idx="2">
                  <c:v>1</c:v>
                </c:pt>
              </c:numCache>
            </c:numRef>
          </c:val>
          <c:extLst>
            <c:ext xmlns:c16="http://schemas.microsoft.com/office/drawing/2014/chart" uri="{C3380CC4-5D6E-409C-BE32-E72D297353CC}">
              <c16:uniqueId val="{00000003-F531-4684-AC65-0407A87C6757}"/>
            </c:ext>
          </c:extLst>
        </c:ser>
        <c:dLbls>
          <c:showLegendKey val="0"/>
          <c:showVal val="0"/>
          <c:showCatName val="0"/>
          <c:showSerName val="0"/>
          <c:showPercent val="0"/>
          <c:showBubbleSize val="0"/>
        </c:dLbls>
        <c:gapWidth val="60"/>
        <c:overlap val="-27"/>
        <c:axId val="608583408"/>
        <c:axId val="604059376"/>
      </c:barChart>
      <c:catAx>
        <c:axId val="60858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59376"/>
        <c:crosses val="autoZero"/>
        <c:auto val="1"/>
        <c:lblAlgn val="ctr"/>
        <c:lblOffset val="100"/>
        <c:noMultiLvlLbl val="0"/>
      </c:catAx>
      <c:valAx>
        <c:axId val="60405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8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5</xdr:col>
      <xdr:colOff>177800</xdr:colOff>
      <xdr:row>19</xdr:row>
      <xdr:rowOff>88900</xdr:rowOff>
    </xdr:to>
    <xdr:graphicFrame macro="">
      <xdr:nvGraphicFramePr>
        <xdr:cNvPr id="2" name="Chart 1">
          <a:extLst>
            <a:ext uri="{FF2B5EF4-FFF2-40B4-BE49-F238E27FC236}">
              <a16:creationId xmlns:a16="http://schemas.microsoft.com/office/drawing/2014/main" id="{ABE9432B-B40F-211B-BA94-AB475DE87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9</xdr:row>
      <xdr:rowOff>0</xdr:rowOff>
    </xdr:from>
    <xdr:to>
      <xdr:col>9</xdr:col>
      <xdr:colOff>177800</xdr:colOff>
      <xdr:row>19</xdr:row>
      <xdr:rowOff>88900</xdr:rowOff>
    </xdr:to>
    <xdr:graphicFrame macro="">
      <xdr:nvGraphicFramePr>
        <xdr:cNvPr id="3" name="Chart 2">
          <a:extLst>
            <a:ext uri="{FF2B5EF4-FFF2-40B4-BE49-F238E27FC236}">
              <a16:creationId xmlns:a16="http://schemas.microsoft.com/office/drawing/2014/main" id="{91BDECF0-AD36-2026-53A9-4920F1EE1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9</xdr:row>
      <xdr:rowOff>0</xdr:rowOff>
    </xdr:from>
    <xdr:to>
      <xdr:col>13</xdr:col>
      <xdr:colOff>177800</xdr:colOff>
      <xdr:row>19</xdr:row>
      <xdr:rowOff>88900</xdr:rowOff>
    </xdr:to>
    <xdr:graphicFrame macro="">
      <xdr:nvGraphicFramePr>
        <xdr:cNvPr id="4" name="Chart 3">
          <a:extLst>
            <a:ext uri="{FF2B5EF4-FFF2-40B4-BE49-F238E27FC236}">
              <a16:creationId xmlns:a16="http://schemas.microsoft.com/office/drawing/2014/main" id="{8121BD5E-9E68-05AC-5407-F21D32863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23</xdr:row>
      <xdr:rowOff>0</xdr:rowOff>
    </xdr:from>
    <xdr:to>
      <xdr:col>5</xdr:col>
      <xdr:colOff>177800</xdr:colOff>
      <xdr:row>33</xdr:row>
      <xdr:rowOff>88900</xdr:rowOff>
    </xdr:to>
    <xdr:graphicFrame macro="">
      <xdr:nvGraphicFramePr>
        <xdr:cNvPr id="5" name="Chart 4">
          <a:extLst>
            <a:ext uri="{FF2B5EF4-FFF2-40B4-BE49-F238E27FC236}">
              <a16:creationId xmlns:a16="http://schemas.microsoft.com/office/drawing/2014/main" id="{BBCAC41E-821E-818C-6031-5E239A875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23</xdr:row>
      <xdr:rowOff>0</xdr:rowOff>
    </xdr:from>
    <xdr:to>
      <xdr:col>9</xdr:col>
      <xdr:colOff>177800</xdr:colOff>
      <xdr:row>33</xdr:row>
      <xdr:rowOff>88900</xdr:rowOff>
    </xdr:to>
    <xdr:graphicFrame macro="">
      <xdr:nvGraphicFramePr>
        <xdr:cNvPr id="6" name="Chart 5">
          <a:extLst>
            <a:ext uri="{FF2B5EF4-FFF2-40B4-BE49-F238E27FC236}">
              <a16:creationId xmlns:a16="http://schemas.microsoft.com/office/drawing/2014/main" id="{6FB44AC1-BD72-51F9-8AEB-6A725ABA7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23</xdr:row>
      <xdr:rowOff>0</xdr:rowOff>
    </xdr:from>
    <xdr:to>
      <xdr:col>13</xdr:col>
      <xdr:colOff>177800</xdr:colOff>
      <xdr:row>33</xdr:row>
      <xdr:rowOff>88900</xdr:rowOff>
    </xdr:to>
    <xdr:graphicFrame macro="">
      <xdr:nvGraphicFramePr>
        <xdr:cNvPr id="7" name="Chart 6">
          <a:extLst>
            <a:ext uri="{FF2B5EF4-FFF2-40B4-BE49-F238E27FC236}">
              <a16:creationId xmlns:a16="http://schemas.microsoft.com/office/drawing/2014/main" id="{BFE61C06-7B46-0A1F-B1EB-8CC9BB8F3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68580</xdr:colOff>
      <xdr:row>36</xdr:row>
      <xdr:rowOff>160020</xdr:rowOff>
    </xdr:from>
    <xdr:to>
      <xdr:col>4</xdr:col>
      <xdr:colOff>513080</xdr:colOff>
      <xdr:row>47</xdr:row>
      <xdr:rowOff>35560</xdr:rowOff>
    </xdr:to>
    <xdr:graphicFrame macro="">
      <xdr:nvGraphicFramePr>
        <xdr:cNvPr id="8" name="Chart 7">
          <a:extLst>
            <a:ext uri="{FF2B5EF4-FFF2-40B4-BE49-F238E27FC236}">
              <a16:creationId xmlns:a16="http://schemas.microsoft.com/office/drawing/2014/main" id="{49247DB7-F2CD-2118-2EB0-0095665AE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541020</xdr:colOff>
      <xdr:row>36</xdr:row>
      <xdr:rowOff>167640</xdr:rowOff>
    </xdr:from>
    <xdr:to>
      <xdr:col>8</xdr:col>
      <xdr:colOff>718820</xdr:colOff>
      <xdr:row>47</xdr:row>
      <xdr:rowOff>43180</xdr:rowOff>
    </xdr:to>
    <xdr:graphicFrame macro="">
      <xdr:nvGraphicFramePr>
        <xdr:cNvPr id="9" name="Chart 8">
          <a:extLst>
            <a:ext uri="{FF2B5EF4-FFF2-40B4-BE49-F238E27FC236}">
              <a16:creationId xmlns:a16="http://schemas.microsoft.com/office/drawing/2014/main" id="{E406A0D1-2CBA-15CC-F64A-B9D2EFC92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0</xdr:colOff>
      <xdr:row>8</xdr:row>
      <xdr:rowOff>213359</xdr:rowOff>
    </xdr:from>
    <xdr:to>
      <xdr:col>16</xdr:col>
      <xdr:colOff>53340</xdr:colOff>
      <xdr:row>15</xdr:row>
      <xdr:rowOff>116839</xdr:rowOff>
    </xdr:to>
    <mc:AlternateContent xmlns:mc="http://schemas.openxmlformats.org/markup-compatibility/2006" xmlns:a14="http://schemas.microsoft.com/office/drawing/2010/main">
      <mc:Choice Requires="a14">
        <xdr:graphicFrame macro="">
          <xdr:nvGraphicFramePr>
            <xdr:cNvPr id="10" name="sl_Region">
              <a:extLst>
                <a:ext uri="{FF2B5EF4-FFF2-40B4-BE49-F238E27FC236}">
                  <a16:creationId xmlns:a16="http://schemas.microsoft.com/office/drawing/2014/main" id="{5B0DF4DE-3333-E5CC-45B3-AC43EDC59742}"/>
                </a:ext>
              </a:extLst>
            </xdr:cNvPr>
            <xdr:cNvGraphicFramePr/>
          </xdr:nvGraphicFramePr>
          <xdr:xfrm>
            <a:off x="0" y="0"/>
            <a:ext cx="0" cy="0"/>
          </xdr:xfrm>
          <a:graphic>
            <a:graphicData uri="http://schemas.microsoft.com/office/drawing/2010/slicer">
              <sle:slicer xmlns:sle="http://schemas.microsoft.com/office/drawing/2010/slicer" name="sl_Region"/>
            </a:graphicData>
          </a:graphic>
        </xdr:graphicFrame>
      </mc:Choice>
      <mc:Fallback xmlns="">
        <xdr:sp macro="" textlink="">
          <xdr:nvSpPr>
            <xdr:cNvPr id="0" name=""/>
            <xdr:cNvSpPr>
              <a:spLocks noTextEdit="1"/>
            </xdr:cNvSpPr>
          </xdr:nvSpPr>
          <xdr:spPr>
            <a:xfrm>
              <a:off x="11125200" y="1920239"/>
              <a:ext cx="19050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16</xdr:row>
      <xdr:rowOff>30480</xdr:rowOff>
    </xdr:from>
    <xdr:to>
      <xdr:col>16</xdr:col>
      <xdr:colOff>53340</xdr:colOff>
      <xdr:row>22</xdr:row>
      <xdr:rowOff>147320</xdr:rowOff>
    </xdr:to>
    <mc:AlternateContent xmlns:mc="http://schemas.openxmlformats.org/markup-compatibility/2006" xmlns:a14="http://schemas.microsoft.com/office/drawing/2010/main">
      <mc:Choice Requires="a14">
        <xdr:graphicFrame macro="">
          <xdr:nvGraphicFramePr>
            <xdr:cNvPr id="11" name="sl_ProductCategory">
              <a:extLst>
                <a:ext uri="{FF2B5EF4-FFF2-40B4-BE49-F238E27FC236}">
                  <a16:creationId xmlns:a16="http://schemas.microsoft.com/office/drawing/2014/main" id="{8D8B5FBB-3520-0384-C299-FB98DA01CF9C}"/>
                </a:ext>
              </a:extLst>
            </xdr:cNvPr>
            <xdr:cNvGraphicFramePr/>
          </xdr:nvGraphicFramePr>
          <xdr:xfrm>
            <a:off x="0" y="0"/>
            <a:ext cx="0" cy="0"/>
          </xdr:xfrm>
          <a:graphic>
            <a:graphicData uri="http://schemas.microsoft.com/office/drawing/2010/slicer">
              <sle:slicer xmlns:sle="http://schemas.microsoft.com/office/drawing/2010/slicer" name="sl_ProductCategory"/>
            </a:graphicData>
          </a:graphic>
        </xdr:graphicFrame>
      </mc:Choice>
      <mc:Fallback xmlns="">
        <xdr:sp macro="" textlink="">
          <xdr:nvSpPr>
            <xdr:cNvPr id="0" name=""/>
            <xdr:cNvSpPr>
              <a:spLocks noTextEdit="1"/>
            </xdr:cNvSpPr>
          </xdr:nvSpPr>
          <xdr:spPr>
            <a:xfrm>
              <a:off x="11125200" y="3444240"/>
              <a:ext cx="19050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23</xdr:row>
      <xdr:rowOff>60960</xdr:rowOff>
    </xdr:from>
    <xdr:to>
      <xdr:col>16</xdr:col>
      <xdr:colOff>53340</xdr:colOff>
      <xdr:row>29</xdr:row>
      <xdr:rowOff>177800</xdr:rowOff>
    </xdr:to>
    <mc:AlternateContent xmlns:mc="http://schemas.openxmlformats.org/markup-compatibility/2006" xmlns:a14="http://schemas.microsoft.com/office/drawing/2010/main">
      <mc:Choice Requires="a14">
        <xdr:graphicFrame macro="">
          <xdr:nvGraphicFramePr>
            <xdr:cNvPr id="12" name="sl_CustomerSegment">
              <a:extLst>
                <a:ext uri="{FF2B5EF4-FFF2-40B4-BE49-F238E27FC236}">
                  <a16:creationId xmlns:a16="http://schemas.microsoft.com/office/drawing/2014/main" id="{8111418D-55E1-8E43-4B3F-8B264D9F2E06}"/>
                </a:ext>
              </a:extLst>
            </xdr:cNvPr>
            <xdr:cNvGraphicFramePr/>
          </xdr:nvGraphicFramePr>
          <xdr:xfrm>
            <a:off x="0" y="0"/>
            <a:ext cx="0" cy="0"/>
          </xdr:xfrm>
          <a:graphic>
            <a:graphicData uri="http://schemas.microsoft.com/office/drawing/2010/slicer">
              <sle:slicer xmlns:sle="http://schemas.microsoft.com/office/drawing/2010/slicer" name="sl_CustomerSegment"/>
            </a:graphicData>
          </a:graphic>
        </xdr:graphicFrame>
      </mc:Choice>
      <mc:Fallback xmlns="">
        <xdr:sp macro="" textlink="">
          <xdr:nvSpPr>
            <xdr:cNvPr id="0" name=""/>
            <xdr:cNvSpPr>
              <a:spLocks noTextEdit="1"/>
            </xdr:cNvSpPr>
          </xdr:nvSpPr>
          <xdr:spPr>
            <a:xfrm>
              <a:off x="11125200" y="4968240"/>
              <a:ext cx="19050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30</xdr:row>
      <xdr:rowOff>91440</xdr:rowOff>
    </xdr:from>
    <xdr:to>
      <xdr:col>16</xdr:col>
      <xdr:colOff>53340</xdr:colOff>
      <xdr:row>36</xdr:row>
      <xdr:rowOff>208280</xdr:rowOff>
    </xdr:to>
    <mc:AlternateContent xmlns:mc="http://schemas.openxmlformats.org/markup-compatibility/2006" xmlns:a14="http://schemas.microsoft.com/office/drawing/2010/main">
      <mc:Choice Requires="a14">
        <xdr:graphicFrame macro="">
          <xdr:nvGraphicFramePr>
            <xdr:cNvPr id="13" name="sl_LoyaltyStatus">
              <a:extLst>
                <a:ext uri="{FF2B5EF4-FFF2-40B4-BE49-F238E27FC236}">
                  <a16:creationId xmlns:a16="http://schemas.microsoft.com/office/drawing/2014/main" id="{3474DF5B-BF98-1366-566D-3517F0715F17}"/>
                </a:ext>
              </a:extLst>
            </xdr:cNvPr>
            <xdr:cNvGraphicFramePr/>
          </xdr:nvGraphicFramePr>
          <xdr:xfrm>
            <a:off x="0" y="0"/>
            <a:ext cx="0" cy="0"/>
          </xdr:xfrm>
          <a:graphic>
            <a:graphicData uri="http://schemas.microsoft.com/office/drawing/2010/slicer">
              <sle:slicer xmlns:sle="http://schemas.microsoft.com/office/drawing/2010/slicer" name="sl_LoyaltyStatus"/>
            </a:graphicData>
          </a:graphic>
        </xdr:graphicFrame>
      </mc:Choice>
      <mc:Fallback xmlns="">
        <xdr:sp macro="" textlink="">
          <xdr:nvSpPr>
            <xdr:cNvPr id="0" name=""/>
            <xdr:cNvSpPr>
              <a:spLocks noTextEdit="1"/>
            </xdr:cNvSpPr>
          </xdr:nvSpPr>
          <xdr:spPr>
            <a:xfrm>
              <a:off x="11125200" y="6492240"/>
              <a:ext cx="19050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xdr:colOff>
      <xdr:row>45</xdr:row>
      <xdr:rowOff>102870</xdr:rowOff>
    </xdr:from>
    <xdr:to>
      <xdr:col>18</xdr:col>
      <xdr:colOff>152400</xdr:colOff>
      <xdr:row>51</xdr:row>
      <xdr:rowOff>92710</xdr:rowOff>
    </xdr:to>
    <mc:AlternateContent xmlns:mc="http://schemas.openxmlformats.org/markup-compatibility/2006">
      <mc:Choice xmlns:tsle="http://schemas.microsoft.com/office/drawing/2012/timeslicer" Requires="tsle">
        <xdr:graphicFrame macro="">
          <xdr:nvGraphicFramePr>
            <xdr:cNvPr id="14" name="tl_PurchaseDate">
              <a:extLst>
                <a:ext uri="{FF2B5EF4-FFF2-40B4-BE49-F238E27FC236}">
                  <a16:creationId xmlns:a16="http://schemas.microsoft.com/office/drawing/2014/main" id="{33E20021-05B4-2975-1866-F1995BE6CB88}"/>
                </a:ext>
              </a:extLst>
            </xdr:cNvPr>
            <xdr:cNvGraphicFramePr/>
          </xdr:nvGraphicFramePr>
          <xdr:xfrm>
            <a:off x="0" y="0"/>
            <a:ext cx="0" cy="0"/>
          </xdr:xfrm>
          <a:graphic>
            <a:graphicData uri="http://schemas.microsoft.com/office/drawing/2012/timeslicer">
              <tsle:timeslicer xmlns:tsle="http://schemas.microsoft.com/office/drawing/2012/timeslicer" name="tl_PurchaseDate"/>
            </a:graphicData>
          </a:graphic>
        </xdr:graphicFrame>
      </mc:Choice>
      <mc:Fallback>
        <xdr:sp macro="" textlink="">
          <xdr:nvSpPr>
            <xdr:cNvPr id="0" name=""/>
            <xdr:cNvSpPr>
              <a:spLocks noTextEdit="1"/>
            </xdr:cNvSpPr>
          </xdr:nvSpPr>
          <xdr:spPr>
            <a:xfrm>
              <a:off x="7665720" y="9532620"/>
              <a:ext cx="6717030" cy="1247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shey" refreshedDate="46178.068533217593" createdVersion="3" refreshedVersion="8" minRefreshableVersion="3" recordCount="200" xr:uid="{C6DA793C-5BA3-4639-94E0-CF7473A88726}">
  <cacheSource type="worksheet">
    <worksheetSource name="tblSales"/>
  </cacheSource>
  <cacheFields count="22">
    <cacheField name="Customer ID" numFmtId="0">
      <sharedItems/>
    </cacheField>
    <cacheField name="Customer Name" numFmtId="0">
      <sharedItems count="44">
        <s v="Sai Patel"/>
        <s v="Rohan Iyer"/>
        <s v="Anika Khan"/>
        <s v="Aadhya Khan"/>
        <s v="Neha Sharma"/>
        <s v="Meera Gupta"/>
        <s v="Dhruv Mehta"/>
        <s v="Aditya Patel"/>
        <s v="Aryan Nair"/>
        <s v="Aarav Joshi"/>
        <s v="Navya Verma"/>
        <s v="Ishaan Iyer"/>
        <s v="Anika Nair"/>
        <s v="Vivaan Singh"/>
        <s v="Aarav Verma"/>
        <s v="Pooja Reddy"/>
        <s v="Atharv Joshi"/>
        <s v="Kabir Das"/>
        <s v="Reyansh Iyer"/>
        <s v="Diya Verma"/>
        <s v="Aadhya Mehta"/>
        <s v="Ishaan Bose"/>
        <s v="Atharv Nair"/>
        <s v="Diya Nair"/>
        <s v="Aryan Sharma"/>
        <s v="Kabir Iyer"/>
        <s v="Navya Sharma"/>
        <s v="Ananya Verma"/>
        <s v="Aarav Gupta"/>
        <s v="Arjun Khan"/>
        <s v="Kabir Kapoor"/>
        <s v="Dhruv Singh"/>
        <s v="Dhruv Reddy"/>
        <s v="Navya Joshi"/>
        <s v="Saanvi Patel"/>
        <s v="Riya Rao"/>
        <s v="Pari Patel"/>
        <s v="Vihaan Mehta"/>
        <s v="Reyansh Mehta"/>
        <s v="Ayaan Nair"/>
        <s v="Rohan Das"/>
        <s v="Anika Joshi"/>
        <s v="Atharv Das"/>
        <s v="Ananya Kapoor"/>
      </sharedItems>
    </cacheField>
    <cacheField name="Age" numFmtId="0">
      <sharedItems containsSemiMixedTypes="0" containsString="0" containsNumber="1" containsInteger="1" minValue="20" maxValue="63"/>
    </cacheField>
    <cacheField name="Gender" numFmtId="0">
      <sharedItems/>
    </cacheField>
    <cacheField name="City" numFmtId="0">
      <sharedItems/>
    </cacheField>
    <cacheField name="Region" numFmtId="0">
      <sharedItems count="4">
        <s v="South"/>
        <s v="East"/>
        <s v="North"/>
        <s v="West"/>
      </sharedItems>
    </cacheField>
    <cacheField name="Occupation" numFmtId="0">
      <sharedItems/>
    </cacheField>
    <cacheField name="Product Category" numFmtId="0">
      <sharedItems count="6">
        <s v="Fashion"/>
        <s v="Sports"/>
        <s v="Electronics"/>
        <s v="Groceries"/>
        <s v="Home &amp; Kitchen"/>
        <s v="Beauty"/>
      </sharedItems>
    </cacheField>
    <cacheField name="Product Name" numFmtId="0">
      <sharedItems/>
    </cacheField>
    <cacheField name="Purchase Date" numFmtId="164">
      <sharedItems containsSemiMixedTypes="0" containsNonDate="0" containsDate="1" containsString="0" minDate="2024-01-01T18:30:00" maxDate="2024-12-27T18:30:00" count="141">
        <d v="2024-01-01T18:30:00"/>
        <d v="2024-01-02T18:30:00"/>
        <d v="2024-01-05T18:30:00"/>
        <d v="2024-01-06T18:30:00"/>
        <d v="2024-01-07T18:30:00"/>
        <d v="2024-01-08T18:30:00"/>
        <d v="2024-01-15T18:30:00"/>
        <d v="2024-01-19T18:30:00"/>
        <d v="2024-01-25T18:30:00"/>
        <d v="2024-01-26T18:30:00"/>
        <d v="2024-01-31T18:30:00"/>
        <d v="2024-02-05T18:30:00"/>
        <d v="2024-02-10T18:30:00"/>
        <d v="2024-02-11T18:30:00"/>
        <d v="2024-02-16T18:30:00"/>
        <d v="2024-02-18T18:30:00"/>
        <d v="2024-02-27T18:30:00"/>
        <d v="2024-03-01T18:30:00"/>
        <d v="2024-03-02T18:30:00"/>
        <d v="2024-03-03T18:30:00"/>
        <d v="2024-03-05T18:30:00"/>
        <d v="2024-03-09T18:30:00"/>
        <d v="2024-03-10T18:30:00"/>
        <d v="2024-03-12T18:30:00"/>
        <d v="2024-03-15T18:30:00"/>
        <d v="2024-03-16T18:30:00"/>
        <d v="2024-03-20T18:30:00"/>
        <d v="2024-03-21T18:30:00"/>
        <d v="2024-03-25T18:30:00"/>
        <d v="2024-03-26T18:30:00"/>
        <d v="2024-04-02T18:30:00"/>
        <d v="2024-04-04T18:30:00"/>
        <d v="2024-04-10T18:30:00"/>
        <d v="2024-04-13T18:30:00"/>
        <d v="2024-04-21T18:30:00"/>
        <d v="2024-04-26T18:30:00"/>
        <d v="2024-04-27T18:30:00"/>
        <d v="2024-05-03T18:30:00"/>
        <d v="2024-05-04T18:30:00"/>
        <d v="2024-05-05T18:30:00"/>
        <d v="2024-05-06T18:30:00"/>
        <d v="2024-05-07T18:30:00"/>
        <d v="2024-05-08T18:30:00"/>
        <d v="2024-05-12T18:30:00"/>
        <d v="2024-05-17T18:30:00"/>
        <d v="2024-05-20T18:30:00"/>
        <d v="2024-05-21T18:30:00"/>
        <d v="2024-05-22T18:30:00"/>
        <d v="2024-06-01T18:30:00"/>
        <d v="2024-06-03T18:30:00"/>
        <d v="2024-06-11T18:30:00"/>
        <d v="2024-06-12T18:30:00"/>
        <d v="2024-06-13T18:30:00"/>
        <d v="2024-06-14T18:30:00"/>
        <d v="2024-06-21T18:30:00"/>
        <d v="2024-06-22T18:30:00"/>
        <d v="2024-06-23T18:30:00"/>
        <d v="2024-06-24T18:30:00"/>
        <d v="2024-07-01T18:30:00"/>
        <d v="2024-07-03T18:30:00"/>
        <d v="2024-07-13T18:30:00"/>
        <d v="2024-07-20T18:30:00"/>
        <d v="2024-07-23T18:30:00"/>
        <d v="2024-07-31T18:30:00"/>
        <d v="2024-08-01T18:30:00"/>
        <d v="2024-08-04T18:30:00"/>
        <d v="2024-08-05T18:30:00"/>
        <d v="2024-08-06T18:30:00"/>
        <d v="2024-08-08T18:30:00"/>
        <d v="2024-08-11T18:30:00"/>
        <d v="2024-08-12T18:30:00"/>
        <d v="2024-08-13T18:30:00"/>
        <d v="2024-08-14T18:30:00"/>
        <d v="2024-08-21T18:30:00"/>
        <d v="2024-08-24T18:30:00"/>
        <d v="2024-08-27T18:30:00"/>
        <d v="2024-09-02T18:30:00"/>
        <d v="2024-09-04T18:30:00"/>
        <d v="2024-09-06T18:30:00"/>
        <d v="2024-09-07T18:30:00"/>
        <d v="2024-09-10T18:30:00"/>
        <d v="2024-09-12T18:30:00"/>
        <d v="2024-09-13T18:30:00"/>
        <d v="2024-09-16T18:30:00"/>
        <d v="2024-09-17T18:30:00"/>
        <d v="2024-09-19T18:30:00"/>
        <d v="2024-09-20T18:30:00"/>
        <d v="2024-09-22T18:30:00"/>
        <d v="2024-09-23T18:30:00"/>
        <d v="2024-09-25T18:30:00"/>
        <d v="2024-10-01T18:30:00"/>
        <d v="2024-10-02T18:30:00"/>
        <d v="2024-10-03T18:30:00"/>
        <d v="2024-10-04T18:30:00"/>
        <d v="2024-10-05T18:30:00"/>
        <d v="2024-10-06T18:30:00"/>
        <d v="2024-10-09T18:30:00"/>
        <d v="2024-10-10T18:30:00"/>
        <d v="2024-10-11T18:30:00"/>
        <d v="2024-10-12T18:30:00"/>
        <d v="2024-10-13T18:30:00"/>
        <d v="2024-10-14T18:30:00"/>
        <d v="2024-10-16T18:30:00"/>
        <d v="2024-10-18T18:30:00"/>
        <d v="2024-10-19T18:30:00"/>
        <d v="2024-10-20T18:30:00"/>
        <d v="2024-10-22T18:30:00"/>
        <d v="2024-10-23T18:30:00"/>
        <d v="2024-10-25T18:30:00"/>
        <d v="2024-11-03T18:30:00"/>
        <d v="2024-11-04T18:30:00"/>
        <d v="2024-11-06T18:30:00"/>
        <d v="2024-11-07T18:30:00"/>
        <d v="2024-11-11T18:30:00"/>
        <d v="2024-11-12T18:30:00"/>
        <d v="2024-11-13T18:30:00"/>
        <d v="2024-11-15T18:30:00"/>
        <d v="2024-11-16T18:30:00"/>
        <d v="2024-11-17T18:30:00"/>
        <d v="2024-11-19T18:30:00"/>
        <d v="2024-11-21T18:30:00"/>
        <d v="2024-11-23T18:30:00"/>
        <d v="2024-11-24T18:30:00"/>
        <d v="2024-11-25T18:30:00"/>
        <d v="2024-11-26T18:30:00"/>
        <d v="2024-11-27T18:30:00"/>
        <d v="2024-11-30T18:30:00"/>
        <d v="2024-12-01T18:30:00"/>
        <d v="2024-12-02T18:30:00"/>
        <d v="2024-12-06T18:30:00"/>
        <d v="2024-12-08T18:30:00"/>
        <d v="2024-12-11T18:30:00"/>
        <d v="2024-12-12T18:30:00"/>
        <d v="2024-12-13T18:30:00"/>
        <d v="2024-12-16T18:30:00"/>
        <d v="2024-12-17T18:30:00"/>
        <d v="2024-12-19T18:30:00"/>
        <d v="2024-12-20T18:30:00"/>
        <d v="2024-12-22T18:30:00"/>
        <d v="2024-12-23T18:30:00"/>
        <d v="2024-12-27T18:30:00"/>
      </sharedItems>
    </cacheField>
    <cacheField name="Quantity Purchased" numFmtId="0">
      <sharedItems containsSemiMixedTypes="0" containsString="0" containsNumber="1" containsInteger="1" minValue="1" maxValue="3"/>
    </cacheField>
    <cacheField name="Unit Price" numFmtId="3">
      <sharedItems containsSemiMixedTypes="0" containsString="0" containsNumber="1" containsInteger="1" minValue="311" maxValue="66720"/>
    </cacheField>
    <cacheField name="Total Purchase Value" numFmtId="3">
      <sharedItems containsSemiMixedTypes="0" containsString="0" containsNumber="1" minValue="311" maxValue="184620"/>
    </cacheField>
    <cacheField name="Payment Method" numFmtId="0">
      <sharedItems count="5">
        <s v="UPI"/>
        <s v="Credit Card"/>
        <s v="Debit Card"/>
        <s v="Net Banking"/>
        <s v="Cash on Delivery"/>
      </sharedItems>
    </cacheField>
    <cacheField name="Purchase Channel" numFmtId="0">
      <sharedItems/>
    </cacheField>
    <cacheField name="Customer Segment" numFmtId="0">
      <sharedItems count="3">
        <s v="Regular"/>
        <s v="Budget"/>
        <s v="Premium"/>
      </sharedItems>
    </cacheField>
    <cacheField name="Loyalty Status" numFmtId="0">
      <sharedItems count="3">
        <s v="Gold"/>
        <s v="Silver"/>
        <s v="Bronze"/>
      </sharedItems>
    </cacheField>
    <cacheField name="Discount Used" numFmtId="0">
      <sharedItems/>
    </cacheField>
    <cacheField name="Purchase Frequency" numFmtId="0">
      <sharedItems containsSemiMixedTypes="0" containsString="0" containsNumber="1" containsInteger="1" minValue="1" maxValue="16"/>
    </cacheField>
    <cacheField name="Last Purchase Date" numFmtId="164">
      <sharedItems containsSemiMixedTypes="0" containsNonDate="0" containsDate="1" containsString="0" minDate="2024-02-27T18:30:00" maxDate="2024-12-27T18:30:00"/>
    </cacheField>
    <cacheField name="Month" numFmtId="164">
      <sharedItems count="12">
        <s v="2024-01"/>
        <s v="2024-02"/>
        <s v="2024-03"/>
        <s v="2024-04"/>
        <s v="2024-05"/>
        <s v="2024-06"/>
        <s v="2024-07"/>
        <s v="2024-08"/>
        <s v="2024-09"/>
        <s v="2024-10"/>
        <s v="2024-11"/>
        <s v="2024-12"/>
      </sharedItems>
    </cacheField>
    <cacheField name="Age Group" numFmtId="164">
      <sharedItems count="5">
        <s v="55+"/>
        <s v="35-44"/>
        <s v="25-34"/>
        <s v="45-54"/>
        <s v="18-24"/>
      </sharedItems>
    </cacheField>
  </cacheFields>
  <extLst>
    <ext xmlns:x14="http://schemas.microsoft.com/office/spreadsheetml/2009/9/main" uri="{725AE2AE-9491-48be-B2B4-4EB974FC3084}">
      <x14:pivotCacheDefinition pivotCacheId="1125969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039"/>
    <x v="0"/>
    <n v="58"/>
    <s v="Male"/>
    <s v="Bengaluru"/>
    <x v="0"/>
    <s v="Sales Manager"/>
    <x v="0"/>
    <s v="Cotton Kurta"/>
    <x v="0"/>
    <n v="1"/>
    <n v="922"/>
    <n v="922"/>
    <x v="0"/>
    <s v="In-Store"/>
    <x v="0"/>
    <x v="0"/>
    <s v="No"/>
    <n v="12"/>
    <d v="2024-12-27T18:30:00"/>
    <x v="0"/>
    <x v="0"/>
  </r>
  <r>
    <s v="C057"/>
    <x v="1"/>
    <n v="62"/>
    <s v="Female"/>
    <s v="Guwahati"/>
    <x v="1"/>
    <s v="Doctor"/>
    <x v="1"/>
    <s v="Football"/>
    <x v="1"/>
    <n v="1"/>
    <n v="635"/>
    <n v="508"/>
    <x v="1"/>
    <s v="Website"/>
    <x v="1"/>
    <x v="1"/>
    <s v="Yes"/>
    <n v="4"/>
    <d v="2024-11-11T18:30:00"/>
    <x v="0"/>
    <x v="0"/>
  </r>
  <r>
    <s v="C027"/>
    <x v="2"/>
    <n v="55"/>
    <s v="Female"/>
    <s v="Lucknow"/>
    <x v="2"/>
    <s v="Designer"/>
    <x v="2"/>
    <s v="Laptop"/>
    <x v="2"/>
    <n v="1"/>
    <n v="35447"/>
    <n v="35447"/>
    <x v="0"/>
    <s v="Mobile App"/>
    <x v="2"/>
    <x v="0"/>
    <s v="No"/>
    <n v="16"/>
    <d v="2024-12-20T18:30:00"/>
    <x v="0"/>
    <x v="0"/>
  </r>
  <r>
    <s v="C004"/>
    <x v="3"/>
    <n v="36"/>
    <s v="Male"/>
    <s v="Patna"/>
    <x v="1"/>
    <s v="Retired"/>
    <x v="2"/>
    <s v="Smartwatch"/>
    <x v="3"/>
    <n v="1"/>
    <n v="57643"/>
    <n v="48996.55"/>
    <x v="0"/>
    <s v="Website"/>
    <x v="0"/>
    <x v="0"/>
    <s v="Yes"/>
    <n v="7"/>
    <d v="2024-11-26T18:30:00"/>
    <x v="0"/>
    <x v="1"/>
  </r>
  <r>
    <s v="C027"/>
    <x v="2"/>
    <n v="55"/>
    <s v="Female"/>
    <s v="Lucknow"/>
    <x v="2"/>
    <s v="Designer"/>
    <x v="0"/>
    <s v="Handbag"/>
    <x v="4"/>
    <n v="1"/>
    <n v="745"/>
    <n v="745"/>
    <x v="2"/>
    <s v="Mobile App"/>
    <x v="2"/>
    <x v="0"/>
    <s v="No"/>
    <n v="16"/>
    <d v="2024-12-20T18:30:00"/>
    <x v="0"/>
    <x v="0"/>
  </r>
  <r>
    <s v="C025"/>
    <x v="4"/>
    <n v="29"/>
    <s v="Female"/>
    <s v="Guwahati"/>
    <x v="1"/>
    <s v="Software Engineer"/>
    <x v="0"/>
    <s v="Handbag"/>
    <x v="5"/>
    <n v="1"/>
    <n v="1293"/>
    <n v="1034.4000000000001"/>
    <x v="1"/>
    <s v="Mobile App"/>
    <x v="1"/>
    <x v="1"/>
    <s v="Yes"/>
    <n v="3"/>
    <d v="2024-10-16T18:30:00"/>
    <x v="0"/>
    <x v="2"/>
  </r>
  <r>
    <s v="C060"/>
    <x v="5"/>
    <n v="60"/>
    <s v="Male"/>
    <s v="Guwahati"/>
    <x v="1"/>
    <s v="Sales Manager"/>
    <x v="0"/>
    <s v="Running Shoes"/>
    <x v="6"/>
    <n v="2"/>
    <n v="5963"/>
    <n v="10137.1"/>
    <x v="3"/>
    <s v="In-Store"/>
    <x v="1"/>
    <x v="0"/>
    <s v="Yes"/>
    <n v="6"/>
    <d v="2024-11-23T18:30:00"/>
    <x v="0"/>
    <x v="0"/>
  </r>
  <r>
    <s v="C003"/>
    <x v="6"/>
    <n v="55"/>
    <s v="Female"/>
    <s v="Kochi"/>
    <x v="0"/>
    <s v="Teacher"/>
    <x v="3"/>
    <s v="Olive Oil"/>
    <x v="7"/>
    <n v="2"/>
    <n v="580"/>
    <n v="1160"/>
    <x v="2"/>
    <s v="Website"/>
    <x v="1"/>
    <x v="1"/>
    <s v="No"/>
    <n v="4"/>
    <d v="2024-09-19T18:30:00"/>
    <x v="0"/>
    <x v="0"/>
  </r>
  <r>
    <s v="C037"/>
    <x v="7"/>
    <n v="60"/>
    <s v="Male"/>
    <s v="Jaipur"/>
    <x v="2"/>
    <s v="Student"/>
    <x v="2"/>
    <s v="Wireless Earbuds"/>
    <x v="7"/>
    <n v="1"/>
    <n v="7575"/>
    <n v="7575"/>
    <x v="0"/>
    <s v="Mobile App"/>
    <x v="2"/>
    <x v="0"/>
    <s v="No"/>
    <n v="8"/>
    <d v="2024-11-26T18:30:00"/>
    <x v="0"/>
    <x v="0"/>
  </r>
  <r>
    <s v="C007"/>
    <x v="8"/>
    <n v="48"/>
    <s v="Male"/>
    <s v="Patna"/>
    <x v="1"/>
    <s v="Sales Manager"/>
    <x v="4"/>
    <s v="Mixer Grinder"/>
    <x v="8"/>
    <n v="1"/>
    <n v="7483"/>
    <n v="7108.85"/>
    <x v="1"/>
    <s v="Website"/>
    <x v="1"/>
    <x v="0"/>
    <s v="Yes"/>
    <n v="5"/>
    <d v="2024-10-19T18:30:00"/>
    <x v="0"/>
    <x v="3"/>
  </r>
  <r>
    <s v="C018"/>
    <x v="9"/>
    <n v="55"/>
    <s v="Female"/>
    <s v="Kolkata"/>
    <x v="1"/>
    <s v="Designer"/>
    <x v="1"/>
    <s v="Cricket Bat"/>
    <x v="8"/>
    <n v="3"/>
    <n v="2228"/>
    <n v="6015.6"/>
    <x v="3"/>
    <s v="Website"/>
    <x v="1"/>
    <x v="0"/>
    <s v="Yes"/>
    <n v="5"/>
    <d v="2024-10-19T18:30:00"/>
    <x v="0"/>
    <x v="0"/>
  </r>
  <r>
    <s v="C039"/>
    <x v="0"/>
    <n v="58"/>
    <s v="Male"/>
    <s v="Bengaluru"/>
    <x v="0"/>
    <s v="Sales Manager"/>
    <x v="0"/>
    <s v="Cotton Kurta"/>
    <x v="9"/>
    <n v="2"/>
    <n v="4063"/>
    <n v="8126"/>
    <x v="3"/>
    <s v="Mobile App"/>
    <x v="0"/>
    <x v="0"/>
    <s v="No"/>
    <n v="12"/>
    <d v="2024-12-27T18:30:00"/>
    <x v="0"/>
    <x v="0"/>
  </r>
  <r>
    <s v="C041"/>
    <x v="10"/>
    <n v="48"/>
    <s v="Female"/>
    <s v="Lucknow"/>
    <x v="2"/>
    <s v="Software Engineer"/>
    <x v="3"/>
    <s v="Coffee Pack"/>
    <x v="10"/>
    <n v="2"/>
    <n v="2341"/>
    <n v="4682"/>
    <x v="0"/>
    <s v="Mobile App"/>
    <x v="0"/>
    <x v="1"/>
    <s v="No"/>
    <n v="4"/>
    <d v="2024-12-17T18:30:00"/>
    <x v="0"/>
    <x v="3"/>
  </r>
  <r>
    <s v="C053"/>
    <x v="11"/>
    <n v="49"/>
    <s v="Female"/>
    <s v="Jaipur"/>
    <x v="2"/>
    <s v="Sales Manager"/>
    <x v="5"/>
    <s v="Sunscreen"/>
    <x v="11"/>
    <n v="1"/>
    <n v="2443"/>
    <n v="2443"/>
    <x v="3"/>
    <s v="In-Store"/>
    <x v="1"/>
    <x v="1"/>
    <s v="No"/>
    <n v="3"/>
    <d v="2024-08-11T18:30:00"/>
    <x v="1"/>
    <x v="3"/>
  </r>
  <r>
    <s v="C052"/>
    <x v="12"/>
    <n v="23"/>
    <s v="Female"/>
    <s v="Mumbai"/>
    <x v="3"/>
    <s v="Designer"/>
    <x v="1"/>
    <s v="Cricket Bat"/>
    <x v="12"/>
    <n v="2"/>
    <n v="2513"/>
    <n v="5026"/>
    <x v="4"/>
    <s v="Mobile App"/>
    <x v="1"/>
    <x v="0"/>
    <s v="No"/>
    <n v="8"/>
    <d v="2024-10-04T18:30:00"/>
    <x v="1"/>
    <x v="4"/>
  </r>
  <r>
    <s v="C010"/>
    <x v="13"/>
    <n v="26"/>
    <s v="Female"/>
    <s v="Surat"/>
    <x v="3"/>
    <s v="Designer"/>
    <x v="0"/>
    <s v="Handbag"/>
    <x v="13"/>
    <n v="1"/>
    <n v="4160"/>
    <n v="4160"/>
    <x v="1"/>
    <s v="Website"/>
    <x v="0"/>
    <x v="0"/>
    <s v="No"/>
    <n v="9"/>
    <d v="2024-12-22T18:30:00"/>
    <x v="1"/>
    <x v="2"/>
  </r>
  <r>
    <s v="C029"/>
    <x v="14"/>
    <n v="23"/>
    <s v="Female"/>
    <s v="Pune"/>
    <x v="3"/>
    <s v="Sales Manager"/>
    <x v="5"/>
    <s v="Sunscreen"/>
    <x v="13"/>
    <n v="2"/>
    <n v="2887"/>
    <n v="5774"/>
    <x v="0"/>
    <s v="In-Store"/>
    <x v="1"/>
    <x v="2"/>
    <s v="No"/>
    <n v="2"/>
    <d v="2024-05-04T18:30:00"/>
    <x v="1"/>
    <x v="4"/>
  </r>
  <r>
    <s v="C034"/>
    <x v="15"/>
    <n v="60"/>
    <s v="Male"/>
    <s v="Pune"/>
    <x v="3"/>
    <s v="Designer"/>
    <x v="4"/>
    <s v="Cookware Set"/>
    <x v="13"/>
    <n v="3"/>
    <n v="7052"/>
    <n v="21156"/>
    <x v="0"/>
    <s v="In-Store"/>
    <x v="0"/>
    <x v="0"/>
    <s v="No"/>
    <n v="11"/>
    <d v="2024-12-01T18:30:00"/>
    <x v="1"/>
    <x v="0"/>
  </r>
  <r>
    <s v="C060"/>
    <x v="5"/>
    <n v="60"/>
    <s v="Male"/>
    <s v="Guwahati"/>
    <x v="1"/>
    <s v="Sales Manager"/>
    <x v="0"/>
    <s v="Denim Jacket"/>
    <x v="13"/>
    <n v="2"/>
    <n v="3128"/>
    <n v="5943.2"/>
    <x v="1"/>
    <s v="Mobile App"/>
    <x v="1"/>
    <x v="0"/>
    <s v="Yes"/>
    <n v="6"/>
    <d v="2024-11-23T18:30:00"/>
    <x v="1"/>
    <x v="0"/>
  </r>
  <r>
    <s v="C009"/>
    <x v="16"/>
    <n v="27"/>
    <s v="Male"/>
    <s v="Hyderabad"/>
    <x v="0"/>
    <s v="Student"/>
    <x v="4"/>
    <s v="Bed Sheet Set"/>
    <x v="14"/>
    <n v="1"/>
    <n v="345"/>
    <n v="345"/>
    <x v="0"/>
    <s v="Mobile App"/>
    <x v="1"/>
    <x v="0"/>
    <s v="No"/>
    <n v="8"/>
    <d v="2024-12-23T18:30:00"/>
    <x v="1"/>
    <x v="2"/>
  </r>
  <r>
    <s v="C037"/>
    <x v="7"/>
    <n v="60"/>
    <s v="Male"/>
    <s v="Jaipur"/>
    <x v="2"/>
    <s v="Student"/>
    <x v="2"/>
    <s v="Smartwatch"/>
    <x v="15"/>
    <n v="3"/>
    <n v="61540"/>
    <n v="184620"/>
    <x v="1"/>
    <s v="Website"/>
    <x v="2"/>
    <x v="0"/>
    <s v="No"/>
    <n v="8"/>
    <d v="2024-11-26T18:30:00"/>
    <x v="1"/>
    <x v="0"/>
  </r>
  <r>
    <s v="C017"/>
    <x v="17"/>
    <n v="25"/>
    <s v="Female"/>
    <s v="Chandigarh"/>
    <x v="2"/>
    <s v="Teacher"/>
    <x v="1"/>
    <s v="Yoga Mat"/>
    <x v="16"/>
    <n v="3"/>
    <n v="3500"/>
    <n v="10500"/>
    <x v="3"/>
    <s v="In-Store"/>
    <x v="1"/>
    <x v="2"/>
    <s v="No"/>
    <n v="1"/>
    <d v="2024-02-27T18:30:00"/>
    <x v="1"/>
    <x v="2"/>
  </r>
  <r>
    <s v="C055"/>
    <x v="18"/>
    <n v="20"/>
    <s v="Male"/>
    <s v="Guwahati"/>
    <x v="1"/>
    <s v="Accountant"/>
    <x v="3"/>
    <s v="Basmati Rice 5kg"/>
    <x v="17"/>
    <n v="1"/>
    <n v="465"/>
    <n v="395.25"/>
    <x v="3"/>
    <s v="Mobile App"/>
    <x v="2"/>
    <x v="0"/>
    <s v="Yes"/>
    <n v="9"/>
    <d v="2024-11-23T18:30:00"/>
    <x v="2"/>
    <x v="4"/>
  </r>
  <r>
    <s v="C039"/>
    <x v="0"/>
    <n v="58"/>
    <s v="Male"/>
    <s v="Bengaluru"/>
    <x v="0"/>
    <s v="Sales Manager"/>
    <x v="4"/>
    <s v="Cookware Set"/>
    <x v="18"/>
    <n v="1"/>
    <n v="2435"/>
    <n v="2435"/>
    <x v="2"/>
    <s v="Website"/>
    <x v="0"/>
    <x v="0"/>
    <s v="No"/>
    <n v="12"/>
    <d v="2024-12-27T18:30:00"/>
    <x v="2"/>
    <x v="0"/>
  </r>
  <r>
    <s v="C057"/>
    <x v="1"/>
    <n v="62"/>
    <s v="Female"/>
    <s v="Guwahati"/>
    <x v="1"/>
    <s v="Doctor"/>
    <x v="1"/>
    <s v="Cricket Bat"/>
    <x v="18"/>
    <n v="1"/>
    <n v="4729"/>
    <n v="4729"/>
    <x v="0"/>
    <s v="In-Store"/>
    <x v="1"/>
    <x v="1"/>
    <s v="No"/>
    <n v="4"/>
    <d v="2024-11-11T18:30:00"/>
    <x v="2"/>
    <x v="0"/>
  </r>
  <r>
    <s v="C018"/>
    <x v="9"/>
    <n v="55"/>
    <s v="Female"/>
    <s v="Kolkata"/>
    <x v="1"/>
    <s v="Designer"/>
    <x v="3"/>
    <s v="Coffee Pack"/>
    <x v="19"/>
    <n v="3"/>
    <n v="1902"/>
    <n v="5706"/>
    <x v="0"/>
    <s v="In-Store"/>
    <x v="1"/>
    <x v="0"/>
    <s v="No"/>
    <n v="5"/>
    <d v="2024-10-19T18:30:00"/>
    <x v="2"/>
    <x v="0"/>
  </r>
  <r>
    <s v="C060"/>
    <x v="5"/>
    <n v="60"/>
    <s v="Male"/>
    <s v="Guwahati"/>
    <x v="1"/>
    <s v="Sales Manager"/>
    <x v="2"/>
    <s v="Smartphone"/>
    <x v="20"/>
    <n v="1"/>
    <n v="3176"/>
    <n v="3176"/>
    <x v="4"/>
    <s v="In-Store"/>
    <x v="1"/>
    <x v="0"/>
    <s v="No"/>
    <n v="6"/>
    <d v="2024-11-23T18:30:00"/>
    <x v="2"/>
    <x v="0"/>
  </r>
  <r>
    <s v="C012"/>
    <x v="19"/>
    <n v="40"/>
    <s v="Female"/>
    <s v="Bhubaneswar"/>
    <x v="1"/>
    <s v="Teacher"/>
    <x v="3"/>
    <s v="Olive Oil"/>
    <x v="21"/>
    <n v="3"/>
    <n v="998"/>
    <n v="2844.3"/>
    <x v="2"/>
    <s v="Mobile App"/>
    <x v="2"/>
    <x v="1"/>
    <s v="Yes"/>
    <n v="4"/>
    <d v="2024-12-08T18:30:00"/>
    <x v="2"/>
    <x v="1"/>
  </r>
  <r>
    <s v="C030"/>
    <x v="20"/>
    <n v="26"/>
    <s v="Female"/>
    <s v="Kochi"/>
    <x v="0"/>
    <s v="Accountant"/>
    <x v="1"/>
    <s v="Fitness Band"/>
    <x v="22"/>
    <n v="3"/>
    <n v="2950"/>
    <n v="8407.5"/>
    <x v="0"/>
    <s v="Website"/>
    <x v="1"/>
    <x v="1"/>
    <s v="Yes"/>
    <n v="4"/>
    <d v="2024-10-03T18:30:00"/>
    <x v="2"/>
    <x v="2"/>
  </r>
  <r>
    <s v="C052"/>
    <x v="12"/>
    <n v="23"/>
    <s v="Female"/>
    <s v="Mumbai"/>
    <x v="3"/>
    <s v="Designer"/>
    <x v="0"/>
    <s v="Handbag"/>
    <x v="22"/>
    <n v="2"/>
    <n v="2114"/>
    <n v="3593.8"/>
    <x v="4"/>
    <s v="Mobile App"/>
    <x v="1"/>
    <x v="0"/>
    <s v="Yes"/>
    <n v="8"/>
    <d v="2024-10-04T18:30:00"/>
    <x v="2"/>
    <x v="4"/>
  </r>
  <r>
    <s v="C026"/>
    <x v="21"/>
    <n v="32"/>
    <s v="Male"/>
    <s v="Patna"/>
    <x v="1"/>
    <s v="Designer"/>
    <x v="1"/>
    <s v="Cricket Bat"/>
    <x v="23"/>
    <n v="1"/>
    <n v="4205"/>
    <n v="4205"/>
    <x v="2"/>
    <s v="Mobile App"/>
    <x v="0"/>
    <x v="2"/>
    <s v="No"/>
    <n v="2"/>
    <d v="2024-04-26T18:30:00"/>
    <x v="2"/>
    <x v="2"/>
  </r>
  <r>
    <s v="C030"/>
    <x v="20"/>
    <n v="26"/>
    <s v="Female"/>
    <s v="Kochi"/>
    <x v="0"/>
    <s v="Accountant"/>
    <x v="0"/>
    <s v="Cotton Kurta"/>
    <x v="24"/>
    <n v="3"/>
    <n v="5359"/>
    <n v="15273.15"/>
    <x v="1"/>
    <s v="Website"/>
    <x v="1"/>
    <x v="1"/>
    <s v="Yes"/>
    <n v="4"/>
    <d v="2024-10-03T18:30:00"/>
    <x v="2"/>
    <x v="2"/>
  </r>
  <r>
    <s v="C054"/>
    <x v="22"/>
    <n v="23"/>
    <s v="Female"/>
    <s v="Guwahati"/>
    <x v="1"/>
    <s v="Retired"/>
    <x v="3"/>
    <s v="Basmati Rice 5kg"/>
    <x v="25"/>
    <n v="1"/>
    <n v="1985"/>
    <n v="1985"/>
    <x v="0"/>
    <s v="Mobile App"/>
    <x v="1"/>
    <x v="2"/>
    <s v="No"/>
    <n v="2"/>
    <d v="2024-05-21T18:30:00"/>
    <x v="2"/>
    <x v="4"/>
  </r>
  <r>
    <s v="C056"/>
    <x v="23"/>
    <n v="57"/>
    <s v="Male"/>
    <s v="Bengaluru"/>
    <x v="0"/>
    <s v="Consultant"/>
    <x v="3"/>
    <s v="Basmati Rice 5kg"/>
    <x v="25"/>
    <n v="1"/>
    <n v="1551"/>
    <n v="1551"/>
    <x v="4"/>
    <s v="Mobile App"/>
    <x v="1"/>
    <x v="1"/>
    <s v="No"/>
    <n v="3"/>
    <d v="2024-11-11T18:30:00"/>
    <x v="2"/>
    <x v="0"/>
  </r>
  <r>
    <s v="C056"/>
    <x v="23"/>
    <n v="57"/>
    <s v="Male"/>
    <s v="Bengaluru"/>
    <x v="0"/>
    <s v="Consultant"/>
    <x v="1"/>
    <s v="Yoga Mat"/>
    <x v="26"/>
    <n v="2"/>
    <n v="949"/>
    <n v="1898"/>
    <x v="2"/>
    <s v="Website"/>
    <x v="1"/>
    <x v="1"/>
    <s v="No"/>
    <n v="3"/>
    <d v="2024-11-11T18:30:00"/>
    <x v="2"/>
    <x v="0"/>
  </r>
  <r>
    <s v="C010"/>
    <x v="13"/>
    <n v="26"/>
    <s v="Female"/>
    <s v="Surat"/>
    <x v="3"/>
    <s v="Designer"/>
    <x v="3"/>
    <s v="Dry Fruits Box"/>
    <x v="27"/>
    <n v="1"/>
    <n v="1947"/>
    <n v="1849.65"/>
    <x v="3"/>
    <s v="Mobile App"/>
    <x v="0"/>
    <x v="0"/>
    <s v="Yes"/>
    <n v="9"/>
    <d v="2024-12-22T18:30:00"/>
    <x v="2"/>
    <x v="2"/>
  </r>
  <r>
    <s v="C051"/>
    <x v="24"/>
    <n v="60"/>
    <s v="Female"/>
    <s v="Pune"/>
    <x v="3"/>
    <s v="Teacher"/>
    <x v="4"/>
    <s v="Water Bottle"/>
    <x v="28"/>
    <n v="1"/>
    <n v="7450"/>
    <n v="7450"/>
    <x v="4"/>
    <s v="Mobile App"/>
    <x v="1"/>
    <x v="0"/>
    <s v="No"/>
    <n v="5"/>
    <d v="2024-12-02T18:30:00"/>
    <x v="2"/>
    <x v="0"/>
  </r>
  <r>
    <s v="C009"/>
    <x v="16"/>
    <n v="27"/>
    <s v="Male"/>
    <s v="Hyderabad"/>
    <x v="0"/>
    <s v="Student"/>
    <x v="3"/>
    <s v="Basmati Rice 5kg"/>
    <x v="29"/>
    <n v="2"/>
    <n v="1252"/>
    <n v="2504"/>
    <x v="0"/>
    <s v="Mobile App"/>
    <x v="1"/>
    <x v="0"/>
    <s v="No"/>
    <n v="8"/>
    <d v="2024-12-23T18:30:00"/>
    <x v="2"/>
    <x v="2"/>
  </r>
  <r>
    <s v="C010"/>
    <x v="13"/>
    <n v="26"/>
    <s v="Female"/>
    <s v="Surat"/>
    <x v="3"/>
    <s v="Designer"/>
    <x v="0"/>
    <s v="Cotton Kurta"/>
    <x v="30"/>
    <n v="1"/>
    <n v="1254"/>
    <n v="1191.3"/>
    <x v="3"/>
    <s v="Website"/>
    <x v="0"/>
    <x v="0"/>
    <s v="Yes"/>
    <n v="9"/>
    <d v="2024-12-22T18:30:00"/>
    <x v="3"/>
    <x v="2"/>
  </r>
  <r>
    <s v="C021"/>
    <x v="17"/>
    <n v="40"/>
    <s v="Female"/>
    <s v="Surat"/>
    <x v="3"/>
    <s v="Accountant"/>
    <x v="3"/>
    <s v="Basmati Rice 5kg"/>
    <x v="30"/>
    <n v="1"/>
    <n v="1136"/>
    <n v="1136"/>
    <x v="0"/>
    <s v="Mobile App"/>
    <x v="2"/>
    <x v="1"/>
    <s v="No"/>
    <n v="3"/>
    <d v="2024-12-11T18:30:00"/>
    <x v="3"/>
    <x v="1"/>
  </r>
  <r>
    <s v="C002"/>
    <x v="25"/>
    <n v="23"/>
    <s v="Female"/>
    <s v="Jaipur"/>
    <x v="2"/>
    <s v="Retired"/>
    <x v="1"/>
    <s v="Dumbbell Set"/>
    <x v="31"/>
    <n v="3"/>
    <n v="3979"/>
    <n v="9549.6"/>
    <x v="2"/>
    <s v="Website"/>
    <x v="1"/>
    <x v="1"/>
    <s v="Yes"/>
    <n v="3"/>
    <d v="2024-11-26T18:30:00"/>
    <x v="3"/>
    <x v="4"/>
  </r>
  <r>
    <s v="C020"/>
    <x v="26"/>
    <n v="25"/>
    <s v="Male"/>
    <s v="Bengaluru"/>
    <x v="0"/>
    <s v="Teacher"/>
    <x v="1"/>
    <s v="Fitness Band"/>
    <x v="31"/>
    <n v="1"/>
    <n v="1087"/>
    <n v="1032.6500000000001"/>
    <x v="0"/>
    <s v="Website"/>
    <x v="1"/>
    <x v="1"/>
    <s v="Yes"/>
    <n v="3"/>
    <d v="2024-11-13T18:30:00"/>
    <x v="3"/>
    <x v="2"/>
  </r>
  <r>
    <s v="C018"/>
    <x v="9"/>
    <n v="55"/>
    <s v="Female"/>
    <s v="Kolkata"/>
    <x v="1"/>
    <s v="Designer"/>
    <x v="0"/>
    <s v="Cotton Kurta"/>
    <x v="32"/>
    <n v="2"/>
    <n v="4398"/>
    <n v="8796"/>
    <x v="2"/>
    <s v="In-Store"/>
    <x v="1"/>
    <x v="0"/>
    <s v="No"/>
    <n v="5"/>
    <d v="2024-10-19T18:30:00"/>
    <x v="3"/>
    <x v="0"/>
  </r>
  <r>
    <s v="C052"/>
    <x v="12"/>
    <n v="23"/>
    <s v="Female"/>
    <s v="Mumbai"/>
    <x v="3"/>
    <s v="Designer"/>
    <x v="4"/>
    <s v="Water Bottle"/>
    <x v="32"/>
    <n v="1"/>
    <n v="5315"/>
    <n v="5315"/>
    <x v="4"/>
    <s v="In-Store"/>
    <x v="1"/>
    <x v="0"/>
    <s v="No"/>
    <n v="8"/>
    <d v="2024-10-04T18:30:00"/>
    <x v="3"/>
    <x v="4"/>
  </r>
  <r>
    <s v="C052"/>
    <x v="12"/>
    <n v="23"/>
    <s v="Female"/>
    <s v="Mumbai"/>
    <x v="3"/>
    <s v="Designer"/>
    <x v="4"/>
    <s v="Mixer Grinder"/>
    <x v="33"/>
    <n v="1"/>
    <n v="5928"/>
    <n v="5928"/>
    <x v="1"/>
    <s v="In-Store"/>
    <x v="1"/>
    <x v="0"/>
    <s v="No"/>
    <n v="8"/>
    <d v="2024-10-04T18:30:00"/>
    <x v="3"/>
    <x v="4"/>
  </r>
  <r>
    <s v="C008"/>
    <x v="27"/>
    <n v="63"/>
    <s v="Male"/>
    <s v="Kochi"/>
    <x v="0"/>
    <s v="Consultant"/>
    <x v="1"/>
    <s v="Fitness Band"/>
    <x v="34"/>
    <n v="3"/>
    <n v="467"/>
    <n v="1401"/>
    <x v="0"/>
    <s v="Website"/>
    <x v="0"/>
    <x v="2"/>
    <s v="No"/>
    <n v="2"/>
    <d v="2024-11-24T18:30:00"/>
    <x v="3"/>
    <x v="0"/>
  </r>
  <r>
    <s v="C026"/>
    <x v="21"/>
    <n v="32"/>
    <s v="Male"/>
    <s v="Patna"/>
    <x v="1"/>
    <s v="Designer"/>
    <x v="2"/>
    <s v="Laptop"/>
    <x v="35"/>
    <n v="2"/>
    <n v="38857"/>
    <n v="69942.600000000006"/>
    <x v="0"/>
    <s v="Mobile App"/>
    <x v="0"/>
    <x v="2"/>
    <s v="Yes"/>
    <n v="2"/>
    <d v="2024-04-26T18:30:00"/>
    <x v="3"/>
    <x v="2"/>
  </r>
  <r>
    <s v="C007"/>
    <x v="8"/>
    <n v="48"/>
    <s v="Male"/>
    <s v="Patna"/>
    <x v="1"/>
    <s v="Sales Manager"/>
    <x v="5"/>
    <s v="Lipstick"/>
    <x v="36"/>
    <n v="2"/>
    <n v="585"/>
    <n v="1170"/>
    <x v="0"/>
    <s v="Mobile App"/>
    <x v="1"/>
    <x v="0"/>
    <s v="No"/>
    <n v="5"/>
    <d v="2024-10-19T18:30:00"/>
    <x v="3"/>
    <x v="3"/>
  </r>
  <r>
    <s v="C007"/>
    <x v="8"/>
    <n v="48"/>
    <s v="Male"/>
    <s v="Patna"/>
    <x v="1"/>
    <s v="Sales Manager"/>
    <x v="2"/>
    <s v="Bluetooth Speaker"/>
    <x v="37"/>
    <n v="1"/>
    <n v="7431"/>
    <n v="7431"/>
    <x v="1"/>
    <s v="Mobile App"/>
    <x v="1"/>
    <x v="0"/>
    <s v="No"/>
    <n v="5"/>
    <d v="2024-10-19T18:30:00"/>
    <x v="4"/>
    <x v="3"/>
  </r>
  <r>
    <s v="C029"/>
    <x v="14"/>
    <n v="23"/>
    <s v="Female"/>
    <s v="Pune"/>
    <x v="3"/>
    <s v="Sales Manager"/>
    <x v="3"/>
    <s v="Green Tea"/>
    <x v="38"/>
    <n v="1"/>
    <n v="829"/>
    <n v="829"/>
    <x v="2"/>
    <s v="Website"/>
    <x v="1"/>
    <x v="2"/>
    <s v="No"/>
    <n v="2"/>
    <d v="2024-05-04T18:30:00"/>
    <x v="4"/>
    <x v="4"/>
  </r>
  <r>
    <s v="C004"/>
    <x v="3"/>
    <n v="36"/>
    <s v="Male"/>
    <s v="Patna"/>
    <x v="1"/>
    <s v="Retired"/>
    <x v="5"/>
    <s v="Lipstick"/>
    <x v="39"/>
    <n v="3"/>
    <n v="1843"/>
    <n v="5529"/>
    <x v="0"/>
    <s v="Website"/>
    <x v="0"/>
    <x v="0"/>
    <s v="No"/>
    <n v="7"/>
    <d v="2024-11-26T18:30:00"/>
    <x v="4"/>
    <x v="1"/>
  </r>
  <r>
    <s v="C034"/>
    <x v="15"/>
    <n v="60"/>
    <s v="Male"/>
    <s v="Pune"/>
    <x v="3"/>
    <s v="Designer"/>
    <x v="4"/>
    <s v="Mixer Grinder"/>
    <x v="39"/>
    <n v="1"/>
    <n v="6313"/>
    <n v="5681.7"/>
    <x v="2"/>
    <s v="Website"/>
    <x v="0"/>
    <x v="0"/>
    <s v="Yes"/>
    <n v="11"/>
    <d v="2024-12-01T18:30:00"/>
    <x v="4"/>
    <x v="0"/>
  </r>
  <r>
    <s v="C046"/>
    <x v="28"/>
    <n v="63"/>
    <s v="Male"/>
    <s v="Mumbai"/>
    <x v="3"/>
    <s v="Student"/>
    <x v="1"/>
    <s v="Fitness Band"/>
    <x v="40"/>
    <n v="3"/>
    <n v="5278"/>
    <n v="15834"/>
    <x v="0"/>
    <s v="In-Store"/>
    <x v="1"/>
    <x v="0"/>
    <s v="No"/>
    <n v="5"/>
    <d v="2024-12-23T18:30:00"/>
    <x v="4"/>
    <x v="0"/>
  </r>
  <r>
    <s v="C059"/>
    <x v="29"/>
    <n v="21"/>
    <s v="Male"/>
    <s v="Lucknow"/>
    <x v="2"/>
    <s v="Student"/>
    <x v="4"/>
    <s v="Water Bottle"/>
    <x v="40"/>
    <n v="1"/>
    <n v="6230"/>
    <n v="6230"/>
    <x v="2"/>
    <s v="In-Store"/>
    <x v="0"/>
    <x v="1"/>
    <s v="No"/>
    <n v="3"/>
    <d v="2024-11-07T18:30:00"/>
    <x v="4"/>
    <x v="4"/>
  </r>
  <r>
    <s v="C014"/>
    <x v="30"/>
    <n v="39"/>
    <s v="Male"/>
    <s v="Chennai"/>
    <x v="0"/>
    <s v="Consultant"/>
    <x v="3"/>
    <s v="Basmati Rice 5kg"/>
    <x v="41"/>
    <n v="2"/>
    <n v="2157"/>
    <n v="4314"/>
    <x v="2"/>
    <s v="In-Store"/>
    <x v="1"/>
    <x v="2"/>
    <s v="No"/>
    <n v="2"/>
    <d v="2024-12-16T18:30:00"/>
    <x v="4"/>
    <x v="1"/>
  </r>
  <r>
    <s v="C007"/>
    <x v="8"/>
    <n v="48"/>
    <s v="Male"/>
    <s v="Patna"/>
    <x v="1"/>
    <s v="Sales Manager"/>
    <x v="0"/>
    <s v="Denim Jacket"/>
    <x v="42"/>
    <n v="1"/>
    <n v="4753"/>
    <n v="4753"/>
    <x v="4"/>
    <s v="In-Store"/>
    <x v="1"/>
    <x v="0"/>
    <s v="No"/>
    <n v="5"/>
    <d v="2024-10-19T18:30:00"/>
    <x v="4"/>
    <x v="3"/>
  </r>
  <r>
    <s v="C027"/>
    <x v="2"/>
    <n v="55"/>
    <s v="Female"/>
    <s v="Lucknow"/>
    <x v="2"/>
    <s v="Designer"/>
    <x v="0"/>
    <s v="Cotton Kurta"/>
    <x v="43"/>
    <n v="2"/>
    <n v="4810"/>
    <n v="9620"/>
    <x v="0"/>
    <s v="In-Store"/>
    <x v="2"/>
    <x v="0"/>
    <s v="No"/>
    <n v="16"/>
    <d v="2024-12-20T18:30:00"/>
    <x v="4"/>
    <x v="0"/>
  </r>
  <r>
    <s v="C034"/>
    <x v="15"/>
    <n v="60"/>
    <s v="Male"/>
    <s v="Pune"/>
    <x v="3"/>
    <s v="Designer"/>
    <x v="5"/>
    <s v="Shampoo"/>
    <x v="44"/>
    <n v="2"/>
    <n v="899"/>
    <n v="1798"/>
    <x v="3"/>
    <s v="Website"/>
    <x v="0"/>
    <x v="0"/>
    <s v="No"/>
    <n v="11"/>
    <d v="2024-12-01T18:30:00"/>
    <x v="4"/>
    <x v="0"/>
  </r>
  <r>
    <s v="C034"/>
    <x v="15"/>
    <n v="60"/>
    <s v="Male"/>
    <s v="Pune"/>
    <x v="3"/>
    <s v="Designer"/>
    <x v="2"/>
    <s v="Smartwatch"/>
    <x v="45"/>
    <n v="1"/>
    <n v="5503"/>
    <n v="5503"/>
    <x v="3"/>
    <s v="Website"/>
    <x v="0"/>
    <x v="0"/>
    <s v="No"/>
    <n v="11"/>
    <d v="2024-12-01T18:30:00"/>
    <x v="4"/>
    <x v="0"/>
  </r>
  <r>
    <s v="C054"/>
    <x v="22"/>
    <n v="23"/>
    <s v="Female"/>
    <s v="Guwahati"/>
    <x v="1"/>
    <s v="Retired"/>
    <x v="4"/>
    <s v="Water Bottle"/>
    <x v="46"/>
    <n v="1"/>
    <n v="6423"/>
    <n v="5780.7"/>
    <x v="0"/>
    <s v="In-Store"/>
    <x v="1"/>
    <x v="2"/>
    <s v="Yes"/>
    <n v="2"/>
    <d v="2024-05-21T18:30:00"/>
    <x v="4"/>
    <x v="4"/>
  </r>
  <r>
    <s v="C055"/>
    <x v="18"/>
    <n v="20"/>
    <s v="Male"/>
    <s v="Guwahati"/>
    <x v="1"/>
    <s v="Accountant"/>
    <x v="0"/>
    <s v="Handbag"/>
    <x v="47"/>
    <n v="1"/>
    <n v="3887"/>
    <n v="3498.3"/>
    <x v="4"/>
    <s v="Mobile App"/>
    <x v="2"/>
    <x v="0"/>
    <s v="Yes"/>
    <n v="9"/>
    <d v="2024-11-23T18:30:00"/>
    <x v="4"/>
    <x v="4"/>
  </r>
  <r>
    <s v="C055"/>
    <x v="18"/>
    <n v="20"/>
    <s v="Male"/>
    <s v="Guwahati"/>
    <x v="1"/>
    <s v="Accountant"/>
    <x v="0"/>
    <s v="Handbag"/>
    <x v="47"/>
    <n v="1"/>
    <n v="900"/>
    <n v="900"/>
    <x v="1"/>
    <s v="Mobile App"/>
    <x v="2"/>
    <x v="0"/>
    <s v="No"/>
    <n v="9"/>
    <d v="2024-11-23T18:30:00"/>
    <x v="4"/>
    <x v="4"/>
  </r>
  <r>
    <s v="C022"/>
    <x v="31"/>
    <n v="48"/>
    <s v="Female"/>
    <s v="Jaipur"/>
    <x v="2"/>
    <s v="Accountant"/>
    <x v="2"/>
    <s v="Smartphone"/>
    <x v="48"/>
    <n v="1"/>
    <n v="23233"/>
    <n v="23233"/>
    <x v="0"/>
    <s v="In-Store"/>
    <x v="1"/>
    <x v="2"/>
    <s v="No"/>
    <n v="2"/>
    <d v="2024-11-25T18:30:00"/>
    <x v="5"/>
    <x v="3"/>
  </r>
  <r>
    <s v="C004"/>
    <x v="3"/>
    <n v="36"/>
    <s v="Male"/>
    <s v="Patna"/>
    <x v="1"/>
    <s v="Retired"/>
    <x v="4"/>
    <s v="Water Bottle"/>
    <x v="49"/>
    <n v="1"/>
    <n v="6286"/>
    <n v="6286"/>
    <x v="0"/>
    <s v="Website"/>
    <x v="0"/>
    <x v="0"/>
    <s v="No"/>
    <n v="7"/>
    <d v="2024-11-26T18:30:00"/>
    <x v="5"/>
    <x v="1"/>
  </r>
  <r>
    <s v="C031"/>
    <x v="29"/>
    <n v="51"/>
    <s v="Male"/>
    <s v="Guwahati"/>
    <x v="1"/>
    <s v="Student"/>
    <x v="3"/>
    <s v="Olive Oil"/>
    <x v="49"/>
    <n v="1"/>
    <n v="389"/>
    <n v="330.65"/>
    <x v="1"/>
    <s v="Mobile App"/>
    <x v="1"/>
    <x v="2"/>
    <s v="Yes"/>
    <n v="1"/>
    <d v="2024-06-03T18:30:00"/>
    <x v="5"/>
    <x v="3"/>
  </r>
  <r>
    <s v="C052"/>
    <x v="12"/>
    <n v="23"/>
    <s v="Female"/>
    <s v="Mumbai"/>
    <x v="3"/>
    <s v="Designer"/>
    <x v="3"/>
    <s v="Basmati Rice 5kg"/>
    <x v="50"/>
    <n v="1"/>
    <n v="2516"/>
    <n v="2138.6"/>
    <x v="3"/>
    <s v="Mobile App"/>
    <x v="1"/>
    <x v="0"/>
    <s v="Yes"/>
    <n v="8"/>
    <d v="2024-10-04T18:30:00"/>
    <x v="5"/>
    <x v="4"/>
  </r>
  <r>
    <s v="C030"/>
    <x v="20"/>
    <n v="26"/>
    <s v="Female"/>
    <s v="Kochi"/>
    <x v="0"/>
    <s v="Accountant"/>
    <x v="5"/>
    <s v="Perfume"/>
    <x v="51"/>
    <n v="1"/>
    <n v="1159"/>
    <n v="1159"/>
    <x v="0"/>
    <s v="Website"/>
    <x v="1"/>
    <x v="1"/>
    <s v="No"/>
    <n v="4"/>
    <d v="2024-10-03T18:30:00"/>
    <x v="5"/>
    <x v="2"/>
  </r>
  <r>
    <s v="C004"/>
    <x v="3"/>
    <n v="36"/>
    <s v="Male"/>
    <s v="Patna"/>
    <x v="1"/>
    <s v="Retired"/>
    <x v="2"/>
    <s v="Smartphone"/>
    <x v="52"/>
    <n v="2"/>
    <n v="12485"/>
    <n v="24970"/>
    <x v="0"/>
    <s v="In-Store"/>
    <x v="0"/>
    <x v="0"/>
    <s v="No"/>
    <n v="7"/>
    <d v="2024-11-26T18:30:00"/>
    <x v="5"/>
    <x v="1"/>
  </r>
  <r>
    <s v="C009"/>
    <x v="16"/>
    <n v="27"/>
    <s v="Male"/>
    <s v="Hyderabad"/>
    <x v="0"/>
    <s v="Student"/>
    <x v="4"/>
    <s v="Bed Sheet Set"/>
    <x v="52"/>
    <n v="1"/>
    <n v="7005"/>
    <n v="6654.75"/>
    <x v="0"/>
    <s v="Mobile App"/>
    <x v="1"/>
    <x v="0"/>
    <s v="Yes"/>
    <n v="8"/>
    <d v="2024-12-23T18:30:00"/>
    <x v="5"/>
    <x v="2"/>
  </r>
  <r>
    <s v="C027"/>
    <x v="2"/>
    <n v="55"/>
    <s v="Female"/>
    <s v="Lucknow"/>
    <x v="2"/>
    <s v="Designer"/>
    <x v="5"/>
    <s v="Lipstick"/>
    <x v="53"/>
    <n v="2"/>
    <n v="1440"/>
    <n v="2592"/>
    <x v="2"/>
    <s v="Website"/>
    <x v="2"/>
    <x v="0"/>
    <s v="Yes"/>
    <n v="16"/>
    <d v="2024-12-20T18:30:00"/>
    <x v="5"/>
    <x v="0"/>
  </r>
  <r>
    <s v="C052"/>
    <x v="12"/>
    <n v="23"/>
    <s v="Female"/>
    <s v="Mumbai"/>
    <x v="3"/>
    <s v="Designer"/>
    <x v="5"/>
    <s v="Sunscreen"/>
    <x v="53"/>
    <n v="1"/>
    <n v="2172"/>
    <n v="2063.4"/>
    <x v="4"/>
    <s v="In-Store"/>
    <x v="1"/>
    <x v="0"/>
    <s v="Yes"/>
    <n v="8"/>
    <d v="2024-10-04T18:30:00"/>
    <x v="5"/>
    <x v="4"/>
  </r>
  <r>
    <s v="C010"/>
    <x v="13"/>
    <n v="26"/>
    <s v="Female"/>
    <s v="Surat"/>
    <x v="3"/>
    <s v="Designer"/>
    <x v="4"/>
    <s v="Bed Sheet Set"/>
    <x v="54"/>
    <n v="1"/>
    <n v="1309"/>
    <n v="1309"/>
    <x v="0"/>
    <s v="In-Store"/>
    <x v="0"/>
    <x v="0"/>
    <s v="No"/>
    <n v="9"/>
    <d v="2024-12-22T18:30:00"/>
    <x v="5"/>
    <x v="2"/>
  </r>
  <r>
    <s v="C053"/>
    <x v="11"/>
    <n v="49"/>
    <s v="Female"/>
    <s v="Jaipur"/>
    <x v="2"/>
    <s v="Sales Manager"/>
    <x v="4"/>
    <s v="Water Bottle"/>
    <x v="55"/>
    <n v="2"/>
    <n v="7779"/>
    <n v="14002.2"/>
    <x v="4"/>
    <s v="In-Store"/>
    <x v="1"/>
    <x v="1"/>
    <s v="Yes"/>
    <n v="3"/>
    <d v="2024-08-11T18:30:00"/>
    <x v="5"/>
    <x v="3"/>
  </r>
  <r>
    <s v="C011"/>
    <x v="32"/>
    <n v="63"/>
    <s v="Male"/>
    <s v="Bhubaneswar"/>
    <x v="1"/>
    <s v="Business Owner"/>
    <x v="2"/>
    <s v="Laptop"/>
    <x v="56"/>
    <n v="1"/>
    <n v="17745"/>
    <n v="14196"/>
    <x v="2"/>
    <s v="Website"/>
    <x v="2"/>
    <x v="0"/>
    <s v="Yes"/>
    <n v="7"/>
    <d v="2024-12-13T18:30:00"/>
    <x v="5"/>
    <x v="0"/>
  </r>
  <r>
    <s v="C012"/>
    <x v="19"/>
    <n v="40"/>
    <s v="Female"/>
    <s v="Bhubaneswar"/>
    <x v="1"/>
    <s v="Teacher"/>
    <x v="2"/>
    <s v="Laptop"/>
    <x v="56"/>
    <n v="3"/>
    <n v="51005"/>
    <n v="130062.75"/>
    <x v="0"/>
    <s v="Website"/>
    <x v="2"/>
    <x v="1"/>
    <s v="Yes"/>
    <n v="4"/>
    <d v="2024-12-08T18:30:00"/>
    <x v="5"/>
    <x v="1"/>
  </r>
  <r>
    <s v="C009"/>
    <x v="16"/>
    <n v="27"/>
    <s v="Male"/>
    <s v="Hyderabad"/>
    <x v="0"/>
    <s v="Student"/>
    <x v="5"/>
    <s v="Shampoo"/>
    <x v="57"/>
    <n v="2"/>
    <n v="1101"/>
    <n v="1761.6"/>
    <x v="3"/>
    <s v="In-Store"/>
    <x v="1"/>
    <x v="0"/>
    <s v="Yes"/>
    <n v="8"/>
    <d v="2024-12-23T18:30:00"/>
    <x v="5"/>
    <x v="2"/>
  </r>
  <r>
    <s v="C027"/>
    <x v="2"/>
    <n v="55"/>
    <s v="Female"/>
    <s v="Lucknow"/>
    <x v="2"/>
    <s v="Designer"/>
    <x v="3"/>
    <s v="Olive Oil"/>
    <x v="58"/>
    <n v="1"/>
    <n v="590"/>
    <n v="472"/>
    <x v="0"/>
    <s v="Website"/>
    <x v="2"/>
    <x v="0"/>
    <s v="Yes"/>
    <n v="16"/>
    <d v="2024-12-20T18:30:00"/>
    <x v="6"/>
    <x v="0"/>
  </r>
  <r>
    <s v="C027"/>
    <x v="2"/>
    <n v="55"/>
    <s v="Female"/>
    <s v="Lucknow"/>
    <x v="2"/>
    <s v="Designer"/>
    <x v="1"/>
    <s v="Dumbbell Set"/>
    <x v="59"/>
    <n v="3"/>
    <n v="944"/>
    <n v="2832"/>
    <x v="0"/>
    <s v="Website"/>
    <x v="2"/>
    <x v="0"/>
    <s v="No"/>
    <n v="16"/>
    <d v="2024-12-20T18:30:00"/>
    <x v="6"/>
    <x v="0"/>
  </r>
  <r>
    <s v="C044"/>
    <x v="33"/>
    <n v="26"/>
    <s v="Male"/>
    <s v="Lucknow"/>
    <x v="2"/>
    <s v="Retired"/>
    <x v="1"/>
    <s v="Yoga Mat"/>
    <x v="59"/>
    <n v="1"/>
    <n v="1322"/>
    <n v="1322"/>
    <x v="0"/>
    <s v="Mobile App"/>
    <x v="0"/>
    <x v="1"/>
    <s v="No"/>
    <n v="3"/>
    <d v="2024-11-03T18:30:00"/>
    <x v="6"/>
    <x v="2"/>
  </r>
  <r>
    <s v="C028"/>
    <x v="34"/>
    <n v="56"/>
    <s v="Male"/>
    <s v="Ahmedabad"/>
    <x v="3"/>
    <s v="Teacher"/>
    <x v="3"/>
    <s v="Coffee Pack"/>
    <x v="60"/>
    <n v="2"/>
    <n v="1238"/>
    <n v="2476"/>
    <x v="3"/>
    <s v="Website"/>
    <x v="1"/>
    <x v="2"/>
    <s v="No"/>
    <n v="2"/>
    <d v="2024-09-20T18:30:00"/>
    <x v="6"/>
    <x v="0"/>
  </r>
  <r>
    <s v="C027"/>
    <x v="2"/>
    <n v="55"/>
    <s v="Female"/>
    <s v="Lucknow"/>
    <x v="2"/>
    <s v="Designer"/>
    <x v="4"/>
    <s v="Water Bottle"/>
    <x v="61"/>
    <n v="2"/>
    <n v="764"/>
    <n v="1528"/>
    <x v="2"/>
    <s v="Mobile App"/>
    <x v="2"/>
    <x v="0"/>
    <s v="No"/>
    <n v="16"/>
    <d v="2024-12-20T18:30:00"/>
    <x v="6"/>
    <x v="0"/>
  </r>
  <r>
    <s v="C049"/>
    <x v="35"/>
    <n v="31"/>
    <s v="Female"/>
    <s v="Bengaluru"/>
    <x v="0"/>
    <s v="Business Owner"/>
    <x v="4"/>
    <s v="Water Bottle"/>
    <x v="61"/>
    <n v="1"/>
    <n v="8344"/>
    <n v="7092.4"/>
    <x v="0"/>
    <s v="Mobile App"/>
    <x v="1"/>
    <x v="1"/>
    <s v="Yes"/>
    <n v="3"/>
    <d v="2024-12-12T18:30:00"/>
    <x v="6"/>
    <x v="2"/>
  </r>
  <r>
    <s v="C004"/>
    <x v="3"/>
    <n v="36"/>
    <s v="Male"/>
    <s v="Patna"/>
    <x v="1"/>
    <s v="Retired"/>
    <x v="0"/>
    <s v="Running Shoes"/>
    <x v="62"/>
    <n v="1"/>
    <n v="4805"/>
    <n v="4805"/>
    <x v="3"/>
    <s v="Website"/>
    <x v="0"/>
    <x v="0"/>
    <s v="No"/>
    <n v="7"/>
    <d v="2024-11-26T18:30:00"/>
    <x v="6"/>
    <x v="1"/>
  </r>
  <r>
    <s v="C052"/>
    <x v="12"/>
    <n v="23"/>
    <s v="Female"/>
    <s v="Mumbai"/>
    <x v="3"/>
    <s v="Designer"/>
    <x v="3"/>
    <s v="Basmati Rice 5kg"/>
    <x v="63"/>
    <n v="1"/>
    <n v="1620"/>
    <n v="1377"/>
    <x v="0"/>
    <s v="Mobile App"/>
    <x v="1"/>
    <x v="0"/>
    <s v="Yes"/>
    <n v="8"/>
    <d v="2024-10-04T18:30:00"/>
    <x v="6"/>
    <x v="4"/>
  </r>
  <r>
    <s v="C027"/>
    <x v="2"/>
    <n v="55"/>
    <s v="Female"/>
    <s v="Lucknow"/>
    <x v="2"/>
    <s v="Designer"/>
    <x v="5"/>
    <s v="Sunscreen"/>
    <x v="64"/>
    <n v="1"/>
    <n v="2643"/>
    <n v="2378.6999999999998"/>
    <x v="2"/>
    <s v="Website"/>
    <x v="2"/>
    <x v="0"/>
    <s v="Yes"/>
    <n v="16"/>
    <d v="2024-12-20T18:30:00"/>
    <x v="7"/>
    <x v="0"/>
  </r>
  <r>
    <s v="C011"/>
    <x v="32"/>
    <n v="63"/>
    <s v="Male"/>
    <s v="Bhubaneswar"/>
    <x v="1"/>
    <s v="Business Owner"/>
    <x v="0"/>
    <s v="Cotton Kurta"/>
    <x v="65"/>
    <n v="1"/>
    <n v="4707"/>
    <n v="4707"/>
    <x v="0"/>
    <s v="Website"/>
    <x v="2"/>
    <x v="0"/>
    <s v="No"/>
    <n v="7"/>
    <d v="2024-12-13T18:30:00"/>
    <x v="7"/>
    <x v="0"/>
  </r>
  <r>
    <s v="C011"/>
    <x v="32"/>
    <n v="63"/>
    <s v="Male"/>
    <s v="Bhubaneswar"/>
    <x v="1"/>
    <s v="Business Owner"/>
    <x v="2"/>
    <s v="Smartwatch"/>
    <x v="65"/>
    <n v="3"/>
    <n v="2843"/>
    <n v="7676.1"/>
    <x v="2"/>
    <s v="Website"/>
    <x v="2"/>
    <x v="0"/>
    <s v="Yes"/>
    <n v="7"/>
    <d v="2024-12-13T18:30:00"/>
    <x v="7"/>
    <x v="0"/>
  </r>
  <r>
    <s v="C010"/>
    <x v="13"/>
    <n v="26"/>
    <s v="Female"/>
    <s v="Surat"/>
    <x v="3"/>
    <s v="Designer"/>
    <x v="4"/>
    <s v="Bed Sheet Set"/>
    <x v="66"/>
    <n v="2"/>
    <n v="7097"/>
    <n v="14194"/>
    <x v="0"/>
    <s v="Mobile App"/>
    <x v="0"/>
    <x v="0"/>
    <s v="No"/>
    <n v="9"/>
    <d v="2024-12-22T18:30:00"/>
    <x v="7"/>
    <x v="2"/>
  </r>
  <r>
    <s v="C009"/>
    <x v="16"/>
    <n v="27"/>
    <s v="Male"/>
    <s v="Hyderabad"/>
    <x v="0"/>
    <s v="Student"/>
    <x v="4"/>
    <s v="Table Lamp"/>
    <x v="67"/>
    <n v="1"/>
    <n v="5507"/>
    <n v="5507"/>
    <x v="0"/>
    <s v="Mobile App"/>
    <x v="1"/>
    <x v="0"/>
    <s v="No"/>
    <n v="8"/>
    <d v="2024-12-23T18:30:00"/>
    <x v="7"/>
    <x v="2"/>
  </r>
  <r>
    <s v="C027"/>
    <x v="2"/>
    <n v="55"/>
    <s v="Female"/>
    <s v="Lucknow"/>
    <x v="2"/>
    <s v="Designer"/>
    <x v="5"/>
    <s v="Perfume"/>
    <x v="68"/>
    <n v="2"/>
    <n v="2480"/>
    <n v="4960"/>
    <x v="4"/>
    <s v="Mobile App"/>
    <x v="2"/>
    <x v="0"/>
    <s v="No"/>
    <n v="16"/>
    <d v="2024-12-20T18:30:00"/>
    <x v="7"/>
    <x v="0"/>
  </r>
  <r>
    <s v="C053"/>
    <x v="11"/>
    <n v="49"/>
    <s v="Female"/>
    <s v="Jaipur"/>
    <x v="2"/>
    <s v="Sales Manager"/>
    <x v="0"/>
    <s v="Denim Jacket"/>
    <x v="69"/>
    <n v="2"/>
    <n v="4830"/>
    <n v="9177"/>
    <x v="0"/>
    <s v="In-Store"/>
    <x v="1"/>
    <x v="1"/>
    <s v="Yes"/>
    <n v="3"/>
    <d v="2024-08-11T18:30:00"/>
    <x v="7"/>
    <x v="3"/>
  </r>
  <r>
    <s v="C003"/>
    <x v="6"/>
    <n v="55"/>
    <s v="Female"/>
    <s v="Kochi"/>
    <x v="0"/>
    <s v="Teacher"/>
    <x v="3"/>
    <s v="Coffee Pack"/>
    <x v="70"/>
    <n v="1"/>
    <n v="2342"/>
    <n v="1990.7"/>
    <x v="0"/>
    <s v="Website"/>
    <x v="1"/>
    <x v="1"/>
    <s v="Yes"/>
    <n v="4"/>
    <d v="2024-09-19T18:30:00"/>
    <x v="7"/>
    <x v="0"/>
  </r>
  <r>
    <s v="C046"/>
    <x v="28"/>
    <n v="63"/>
    <s v="Male"/>
    <s v="Mumbai"/>
    <x v="3"/>
    <s v="Student"/>
    <x v="0"/>
    <s v="Handbag"/>
    <x v="70"/>
    <n v="2"/>
    <n v="4059"/>
    <n v="7306.2"/>
    <x v="0"/>
    <s v="In-Store"/>
    <x v="1"/>
    <x v="0"/>
    <s v="Yes"/>
    <n v="5"/>
    <d v="2024-12-23T18:30:00"/>
    <x v="7"/>
    <x v="0"/>
  </r>
  <r>
    <s v="C037"/>
    <x v="7"/>
    <n v="60"/>
    <s v="Male"/>
    <s v="Jaipur"/>
    <x v="2"/>
    <s v="Student"/>
    <x v="5"/>
    <s v="Perfume"/>
    <x v="71"/>
    <n v="2"/>
    <n v="2615"/>
    <n v="5230"/>
    <x v="1"/>
    <s v="Mobile App"/>
    <x v="2"/>
    <x v="0"/>
    <s v="No"/>
    <n v="8"/>
    <d v="2024-11-26T18:30:00"/>
    <x v="7"/>
    <x v="0"/>
  </r>
  <r>
    <s v="C005"/>
    <x v="36"/>
    <n v="56"/>
    <s v="Female"/>
    <s v="Kolkata"/>
    <x v="1"/>
    <s v="Student"/>
    <x v="4"/>
    <s v="Cookware Set"/>
    <x v="72"/>
    <n v="3"/>
    <n v="4896"/>
    <n v="14688"/>
    <x v="4"/>
    <s v="Mobile App"/>
    <x v="0"/>
    <x v="0"/>
    <s v="No"/>
    <n v="7"/>
    <d v="2024-12-20T18:30:00"/>
    <x v="7"/>
    <x v="0"/>
  </r>
  <r>
    <s v="C020"/>
    <x v="26"/>
    <n v="25"/>
    <s v="Male"/>
    <s v="Bengaluru"/>
    <x v="0"/>
    <s v="Teacher"/>
    <x v="5"/>
    <s v="Perfume"/>
    <x v="72"/>
    <n v="3"/>
    <n v="668"/>
    <n v="2004"/>
    <x v="0"/>
    <s v="Website"/>
    <x v="1"/>
    <x v="1"/>
    <s v="No"/>
    <n v="3"/>
    <d v="2024-11-13T18:30:00"/>
    <x v="7"/>
    <x v="2"/>
  </r>
  <r>
    <s v="C057"/>
    <x v="1"/>
    <n v="62"/>
    <s v="Female"/>
    <s v="Guwahati"/>
    <x v="1"/>
    <s v="Doctor"/>
    <x v="3"/>
    <s v="Green Tea"/>
    <x v="73"/>
    <n v="1"/>
    <n v="955"/>
    <n v="955"/>
    <x v="2"/>
    <s v="In-Store"/>
    <x v="1"/>
    <x v="1"/>
    <s v="No"/>
    <n v="4"/>
    <d v="2024-11-11T18:30:00"/>
    <x v="7"/>
    <x v="0"/>
  </r>
  <r>
    <s v="C003"/>
    <x v="6"/>
    <n v="55"/>
    <s v="Female"/>
    <s v="Kochi"/>
    <x v="0"/>
    <s v="Teacher"/>
    <x v="5"/>
    <s v="Shampoo"/>
    <x v="74"/>
    <n v="3"/>
    <n v="3453"/>
    <n v="10359"/>
    <x v="0"/>
    <s v="Mobile App"/>
    <x v="1"/>
    <x v="1"/>
    <s v="No"/>
    <n v="4"/>
    <d v="2024-09-19T18:30:00"/>
    <x v="7"/>
    <x v="0"/>
  </r>
  <r>
    <s v="C009"/>
    <x v="16"/>
    <n v="27"/>
    <s v="Male"/>
    <s v="Hyderabad"/>
    <x v="0"/>
    <s v="Student"/>
    <x v="0"/>
    <s v="Cotton Kurta"/>
    <x v="75"/>
    <n v="1"/>
    <n v="4371"/>
    <n v="4371"/>
    <x v="0"/>
    <s v="Mobile App"/>
    <x v="1"/>
    <x v="0"/>
    <s v="No"/>
    <n v="8"/>
    <d v="2024-12-23T18:30:00"/>
    <x v="7"/>
    <x v="2"/>
  </r>
  <r>
    <s v="C055"/>
    <x v="18"/>
    <n v="20"/>
    <s v="Male"/>
    <s v="Guwahati"/>
    <x v="1"/>
    <s v="Accountant"/>
    <x v="2"/>
    <s v="Smartphone"/>
    <x v="76"/>
    <n v="3"/>
    <n v="31028"/>
    <n v="93084"/>
    <x v="0"/>
    <s v="In-Store"/>
    <x v="2"/>
    <x v="0"/>
    <s v="No"/>
    <n v="9"/>
    <d v="2024-11-23T18:30:00"/>
    <x v="8"/>
    <x v="4"/>
  </r>
  <r>
    <s v="C044"/>
    <x v="33"/>
    <n v="26"/>
    <s v="Male"/>
    <s v="Lucknow"/>
    <x v="2"/>
    <s v="Retired"/>
    <x v="2"/>
    <s v="Bluetooth Speaker"/>
    <x v="77"/>
    <n v="2"/>
    <n v="25970"/>
    <n v="51940"/>
    <x v="0"/>
    <s v="Mobile App"/>
    <x v="0"/>
    <x v="1"/>
    <s v="No"/>
    <n v="3"/>
    <d v="2024-11-03T18:30:00"/>
    <x v="8"/>
    <x v="2"/>
  </r>
  <r>
    <s v="C055"/>
    <x v="18"/>
    <n v="20"/>
    <s v="Male"/>
    <s v="Guwahati"/>
    <x v="1"/>
    <s v="Accountant"/>
    <x v="2"/>
    <s v="Smartphone"/>
    <x v="78"/>
    <n v="1"/>
    <n v="19904"/>
    <n v="19904"/>
    <x v="1"/>
    <s v="Mobile App"/>
    <x v="2"/>
    <x v="0"/>
    <s v="No"/>
    <n v="9"/>
    <d v="2024-11-23T18:30:00"/>
    <x v="8"/>
    <x v="4"/>
  </r>
  <r>
    <s v="C013"/>
    <x v="37"/>
    <n v="40"/>
    <s v="Male"/>
    <s v="Surat"/>
    <x v="3"/>
    <s v="Doctor"/>
    <x v="1"/>
    <s v="Football"/>
    <x v="79"/>
    <n v="3"/>
    <n v="3853"/>
    <n v="11559"/>
    <x v="1"/>
    <s v="Mobile App"/>
    <x v="1"/>
    <x v="2"/>
    <s v="No"/>
    <n v="1"/>
    <d v="2024-09-07T18:30:00"/>
    <x v="8"/>
    <x v="1"/>
  </r>
  <r>
    <s v="C018"/>
    <x v="9"/>
    <n v="55"/>
    <s v="Female"/>
    <s v="Kolkata"/>
    <x v="1"/>
    <s v="Designer"/>
    <x v="4"/>
    <s v="Bed Sheet Set"/>
    <x v="79"/>
    <n v="1"/>
    <n v="3381"/>
    <n v="3381"/>
    <x v="3"/>
    <s v="Website"/>
    <x v="1"/>
    <x v="0"/>
    <s v="No"/>
    <n v="5"/>
    <d v="2024-10-19T18:30:00"/>
    <x v="8"/>
    <x v="0"/>
  </r>
  <r>
    <s v="C038"/>
    <x v="38"/>
    <n v="33"/>
    <s v="Female"/>
    <s v="Kochi"/>
    <x v="0"/>
    <s v="Accountant"/>
    <x v="0"/>
    <s v="Sunglasses"/>
    <x v="79"/>
    <n v="1"/>
    <n v="1039"/>
    <n v="1039"/>
    <x v="0"/>
    <s v="Mobile App"/>
    <x v="1"/>
    <x v="2"/>
    <s v="No"/>
    <n v="1"/>
    <d v="2024-09-07T18:30:00"/>
    <x v="8"/>
    <x v="2"/>
  </r>
  <r>
    <s v="C039"/>
    <x v="0"/>
    <n v="58"/>
    <s v="Male"/>
    <s v="Bengaluru"/>
    <x v="0"/>
    <s v="Sales Manager"/>
    <x v="5"/>
    <s v="Shampoo"/>
    <x v="79"/>
    <n v="1"/>
    <n v="3383"/>
    <n v="3383"/>
    <x v="0"/>
    <s v="Mobile App"/>
    <x v="0"/>
    <x v="0"/>
    <s v="No"/>
    <n v="12"/>
    <d v="2024-12-27T18:30:00"/>
    <x v="8"/>
    <x v="0"/>
  </r>
  <r>
    <s v="C010"/>
    <x v="13"/>
    <n v="26"/>
    <s v="Female"/>
    <s v="Surat"/>
    <x v="3"/>
    <s v="Designer"/>
    <x v="3"/>
    <s v="Basmati Rice 5kg"/>
    <x v="80"/>
    <n v="3"/>
    <n v="2486"/>
    <n v="7085.1"/>
    <x v="1"/>
    <s v="In-Store"/>
    <x v="0"/>
    <x v="0"/>
    <s v="Yes"/>
    <n v="9"/>
    <d v="2024-12-22T18:30:00"/>
    <x v="8"/>
    <x v="2"/>
  </r>
  <r>
    <s v="C034"/>
    <x v="15"/>
    <n v="60"/>
    <s v="Male"/>
    <s v="Pune"/>
    <x v="3"/>
    <s v="Designer"/>
    <x v="5"/>
    <s v="Face Serum"/>
    <x v="81"/>
    <n v="1"/>
    <n v="2259"/>
    <n v="2259"/>
    <x v="3"/>
    <s v="In-Store"/>
    <x v="0"/>
    <x v="0"/>
    <s v="No"/>
    <n v="11"/>
    <d v="2024-12-01T18:30:00"/>
    <x v="8"/>
    <x v="0"/>
  </r>
  <r>
    <s v="C037"/>
    <x v="7"/>
    <n v="60"/>
    <s v="Male"/>
    <s v="Jaipur"/>
    <x v="2"/>
    <s v="Student"/>
    <x v="5"/>
    <s v="Shampoo"/>
    <x v="81"/>
    <n v="1"/>
    <n v="3306"/>
    <n v="3306"/>
    <x v="0"/>
    <s v="Mobile App"/>
    <x v="2"/>
    <x v="0"/>
    <s v="No"/>
    <n v="8"/>
    <d v="2024-11-26T18:30:00"/>
    <x v="8"/>
    <x v="0"/>
  </r>
  <r>
    <s v="C034"/>
    <x v="15"/>
    <n v="60"/>
    <s v="Male"/>
    <s v="Pune"/>
    <x v="3"/>
    <s v="Designer"/>
    <x v="4"/>
    <s v="Table Lamp"/>
    <x v="82"/>
    <n v="1"/>
    <n v="7207"/>
    <n v="7207"/>
    <x v="4"/>
    <s v="In-Store"/>
    <x v="0"/>
    <x v="0"/>
    <s v="No"/>
    <n v="11"/>
    <d v="2024-12-01T18:30:00"/>
    <x v="8"/>
    <x v="0"/>
  </r>
  <r>
    <s v="C011"/>
    <x v="32"/>
    <n v="63"/>
    <s v="Male"/>
    <s v="Bhubaneswar"/>
    <x v="1"/>
    <s v="Business Owner"/>
    <x v="2"/>
    <s v="Laptop"/>
    <x v="83"/>
    <n v="2"/>
    <n v="46077"/>
    <n v="92154"/>
    <x v="0"/>
    <s v="Mobile App"/>
    <x v="2"/>
    <x v="0"/>
    <s v="No"/>
    <n v="7"/>
    <d v="2024-12-13T18:30:00"/>
    <x v="8"/>
    <x v="0"/>
  </r>
  <r>
    <s v="C019"/>
    <x v="39"/>
    <n v="54"/>
    <s v="Female"/>
    <s v="Surat"/>
    <x v="3"/>
    <s v="Student"/>
    <x v="3"/>
    <s v="Olive Oil"/>
    <x v="84"/>
    <n v="1"/>
    <n v="1084"/>
    <n v="1084"/>
    <x v="4"/>
    <s v="Mobile App"/>
    <x v="1"/>
    <x v="2"/>
    <s v="No"/>
    <n v="2"/>
    <d v="2024-09-22T18:30:00"/>
    <x v="8"/>
    <x v="3"/>
  </r>
  <r>
    <s v="C051"/>
    <x v="24"/>
    <n v="60"/>
    <s v="Female"/>
    <s v="Pune"/>
    <x v="3"/>
    <s v="Teacher"/>
    <x v="5"/>
    <s v="Sunscreen"/>
    <x v="84"/>
    <n v="2"/>
    <n v="1890"/>
    <n v="3213"/>
    <x v="1"/>
    <s v="Website"/>
    <x v="1"/>
    <x v="0"/>
    <s v="Yes"/>
    <n v="5"/>
    <d v="2024-12-02T18:30:00"/>
    <x v="8"/>
    <x v="0"/>
  </r>
  <r>
    <s v="C003"/>
    <x v="6"/>
    <n v="55"/>
    <s v="Female"/>
    <s v="Kochi"/>
    <x v="0"/>
    <s v="Teacher"/>
    <x v="4"/>
    <s v="Water Bottle"/>
    <x v="85"/>
    <n v="1"/>
    <n v="941"/>
    <n v="941"/>
    <x v="3"/>
    <s v="Mobile App"/>
    <x v="1"/>
    <x v="1"/>
    <s v="No"/>
    <n v="4"/>
    <d v="2024-09-19T18:30:00"/>
    <x v="8"/>
    <x v="0"/>
  </r>
  <r>
    <s v="C028"/>
    <x v="34"/>
    <n v="56"/>
    <s v="Male"/>
    <s v="Ahmedabad"/>
    <x v="3"/>
    <s v="Teacher"/>
    <x v="5"/>
    <s v="Perfume"/>
    <x v="86"/>
    <n v="3"/>
    <n v="3265"/>
    <n v="9795"/>
    <x v="1"/>
    <s v="Mobile App"/>
    <x v="1"/>
    <x v="2"/>
    <s v="No"/>
    <n v="2"/>
    <d v="2024-09-20T18:30:00"/>
    <x v="8"/>
    <x v="0"/>
  </r>
  <r>
    <s v="C004"/>
    <x v="3"/>
    <n v="36"/>
    <s v="Male"/>
    <s v="Patna"/>
    <x v="1"/>
    <s v="Retired"/>
    <x v="2"/>
    <s v="Wireless Earbuds"/>
    <x v="87"/>
    <n v="1"/>
    <n v="2879"/>
    <n v="2303.1999999999998"/>
    <x v="1"/>
    <s v="Mobile App"/>
    <x v="0"/>
    <x v="0"/>
    <s v="Yes"/>
    <n v="7"/>
    <d v="2024-11-26T18:30:00"/>
    <x v="8"/>
    <x v="1"/>
  </r>
  <r>
    <s v="C019"/>
    <x v="39"/>
    <n v="54"/>
    <s v="Female"/>
    <s v="Surat"/>
    <x v="3"/>
    <s v="Student"/>
    <x v="5"/>
    <s v="Perfume"/>
    <x v="87"/>
    <n v="1"/>
    <n v="1213"/>
    <n v="1213"/>
    <x v="0"/>
    <s v="Website"/>
    <x v="1"/>
    <x v="2"/>
    <s v="No"/>
    <n v="2"/>
    <d v="2024-09-22T18:30:00"/>
    <x v="8"/>
    <x v="3"/>
  </r>
  <r>
    <s v="C055"/>
    <x v="18"/>
    <n v="20"/>
    <s v="Male"/>
    <s v="Guwahati"/>
    <x v="1"/>
    <s v="Accountant"/>
    <x v="0"/>
    <s v="Handbag"/>
    <x v="87"/>
    <n v="2"/>
    <n v="1769"/>
    <n v="3538"/>
    <x v="3"/>
    <s v="In-Store"/>
    <x v="2"/>
    <x v="0"/>
    <s v="No"/>
    <n v="9"/>
    <d v="2024-11-23T18:30:00"/>
    <x v="8"/>
    <x v="4"/>
  </r>
  <r>
    <s v="C039"/>
    <x v="0"/>
    <n v="58"/>
    <s v="Male"/>
    <s v="Bengaluru"/>
    <x v="0"/>
    <s v="Sales Manager"/>
    <x v="3"/>
    <s v="Basmati Rice 5kg"/>
    <x v="88"/>
    <n v="1"/>
    <n v="1056"/>
    <n v="1056"/>
    <x v="4"/>
    <s v="Mobile App"/>
    <x v="0"/>
    <x v="0"/>
    <s v="No"/>
    <n v="12"/>
    <d v="2024-12-27T18:30:00"/>
    <x v="8"/>
    <x v="0"/>
  </r>
  <r>
    <s v="C034"/>
    <x v="15"/>
    <n v="60"/>
    <s v="Male"/>
    <s v="Pune"/>
    <x v="3"/>
    <s v="Designer"/>
    <x v="2"/>
    <s v="Wireless Earbuds"/>
    <x v="89"/>
    <n v="1"/>
    <n v="52907"/>
    <n v="50261.65"/>
    <x v="0"/>
    <s v="Website"/>
    <x v="0"/>
    <x v="0"/>
    <s v="Yes"/>
    <n v="11"/>
    <d v="2024-12-01T18:30:00"/>
    <x v="8"/>
    <x v="0"/>
  </r>
  <r>
    <s v="C025"/>
    <x v="4"/>
    <n v="29"/>
    <s v="Female"/>
    <s v="Guwahati"/>
    <x v="1"/>
    <s v="Software Engineer"/>
    <x v="0"/>
    <s v="Running Shoes"/>
    <x v="90"/>
    <n v="1"/>
    <n v="2999"/>
    <n v="2699.1"/>
    <x v="0"/>
    <s v="In-Store"/>
    <x v="1"/>
    <x v="1"/>
    <s v="Yes"/>
    <n v="3"/>
    <d v="2024-10-16T18:30:00"/>
    <x v="9"/>
    <x v="2"/>
  </r>
  <r>
    <s v="C012"/>
    <x v="19"/>
    <n v="40"/>
    <s v="Female"/>
    <s v="Bhubaneswar"/>
    <x v="1"/>
    <s v="Teacher"/>
    <x v="2"/>
    <s v="Wireless Earbuds"/>
    <x v="91"/>
    <n v="3"/>
    <n v="38597"/>
    <n v="104211.9"/>
    <x v="0"/>
    <s v="Mobile App"/>
    <x v="2"/>
    <x v="1"/>
    <s v="Yes"/>
    <n v="4"/>
    <d v="2024-12-08T18:30:00"/>
    <x v="9"/>
    <x v="1"/>
  </r>
  <r>
    <s v="C030"/>
    <x v="20"/>
    <n v="26"/>
    <s v="Female"/>
    <s v="Kochi"/>
    <x v="0"/>
    <s v="Accountant"/>
    <x v="0"/>
    <s v="Sunglasses"/>
    <x v="92"/>
    <n v="1"/>
    <n v="5019"/>
    <n v="5019"/>
    <x v="0"/>
    <s v="Mobile App"/>
    <x v="1"/>
    <x v="1"/>
    <s v="No"/>
    <n v="4"/>
    <d v="2024-10-03T18:30:00"/>
    <x v="9"/>
    <x v="2"/>
  </r>
  <r>
    <s v="C055"/>
    <x v="18"/>
    <n v="20"/>
    <s v="Male"/>
    <s v="Guwahati"/>
    <x v="1"/>
    <s v="Accountant"/>
    <x v="0"/>
    <s v="Sunglasses"/>
    <x v="92"/>
    <n v="2"/>
    <n v="5995"/>
    <n v="9592"/>
    <x v="4"/>
    <s v="Website"/>
    <x v="2"/>
    <x v="0"/>
    <s v="Yes"/>
    <n v="9"/>
    <d v="2024-11-23T18:30:00"/>
    <x v="9"/>
    <x v="4"/>
  </r>
  <r>
    <s v="C060"/>
    <x v="5"/>
    <n v="60"/>
    <s v="Male"/>
    <s v="Guwahati"/>
    <x v="1"/>
    <s v="Sales Manager"/>
    <x v="0"/>
    <s v="Cotton Kurta"/>
    <x v="92"/>
    <n v="1"/>
    <n v="1651"/>
    <n v="1651"/>
    <x v="3"/>
    <s v="In-Store"/>
    <x v="1"/>
    <x v="0"/>
    <s v="No"/>
    <n v="6"/>
    <d v="2024-11-23T18:30:00"/>
    <x v="9"/>
    <x v="0"/>
  </r>
  <r>
    <s v="C005"/>
    <x v="36"/>
    <n v="56"/>
    <s v="Female"/>
    <s v="Kolkata"/>
    <x v="1"/>
    <s v="Student"/>
    <x v="2"/>
    <s v="Smartphone"/>
    <x v="93"/>
    <n v="1"/>
    <n v="27294"/>
    <n v="27294"/>
    <x v="1"/>
    <s v="In-Store"/>
    <x v="0"/>
    <x v="0"/>
    <s v="No"/>
    <n v="7"/>
    <d v="2024-12-20T18:30:00"/>
    <x v="9"/>
    <x v="0"/>
  </r>
  <r>
    <s v="C021"/>
    <x v="17"/>
    <n v="40"/>
    <s v="Female"/>
    <s v="Surat"/>
    <x v="3"/>
    <s v="Accountant"/>
    <x v="5"/>
    <s v="Perfume"/>
    <x v="93"/>
    <n v="3"/>
    <n v="3455"/>
    <n v="8292"/>
    <x v="3"/>
    <s v="Mobile App"/>
    <x v="2"/>
    <x v="1"/>
    <s v="Yes"/>
    <n v="3"/>
    <d v="2024-12-11T18:30:00"/>
    <x v="9"/>
    <x v="1"/>
  </r>
  <r>
    <s v="C052"/>
    <x v="12"/>
    <n v="23"/>
    <s v="Female"/>
    <s v="Mumbai"/>
    <x v="3"/>
    <s v="Designer"/>
    <x v="2"/>
    <s v="Laptop"/>
    <x v="93"/>
    <n v="1"/>
    <n v="5374"/>
    <n v="5374"/>
    <x v="4"/>
    <s v="Mobile App"/>
    <x v="1"/>
    <x v="0"/>
    <s v="No"/>
    <n v="8"/>
    <d v="2024-10-04T18:30:00"/>
    <x v="9"/>
    <x v="4"/>
  </r>
  <r>
    <s v="C005"/>
    <x v="36"/>
    <n v="56"/>
    <s v="Female"/>
    <s v="Kolkata"/>
    <x v="1"/>
    <s v="Student"/>
    <x v="1"/>
    <s v="Yoga Mat"/>
    <x v="94"/>
    <n v="1"/>
    <n v="3110"/>
    <n v="2488"/>
    <x v="3"/>
    <s v="Mobile App"/>
    <x v="0"/>
    <x v="0"/>
    <s v="Yes"/>
    <n v="7"/>
    <d v="2024-12-20T18:30:00"/>
    <x v="9"/>
    <x v="0"/>
  </r>
  <r>
    <s v="C043"/>
    <x v="40"/>
    <n v="25"/>
    <s v="Female"/>
    <s v="Chandigarh"/>
    <x v="2"/>
    <s v="Teacher"/>
    <x v="5"/>
    <s v="Lipstick"/>
    <x v="94"/>
    <n v="2"/>
    <n v="1888"/>
    <n v="3776"/>
    <x v="0"/>
    <s v="Website"/>
    <x v="1"/>
    <x v="2"/>
    <s v="No"/>
    <n v="1"/>
    <d v="2024-10-05T18:30:00"/>
    <x v="9"/>
    <x v="2"/>
  </r>
  <r>
    <s v="C002"/>
    <x v="25"/>
    <n v="23"/>
    <s v="Female"/>
    <s v="Jaipur"/>
    <x v="2"/>
    <s v="Retired"/>
    <x v="4"/>
    <s v="Cookware Set"/>
    <x v="95"/>
    <n v="2"/>
    <n v="2765"/>
    <n v="5530"/>
    <x v="0"/>
    <s v="Mobile App"/>
    <x v="1"/>
    <x v="1"/>
    <s v="No"/>
    <n v="3"/>
    <d v="2024-11-26T18:30:00"/>
    <x v="9"/>
    <x v="4"/>
  </r>
  <r>
    <s v="C010"/>
    <x v="13"/>
    <n v="26"/>
    <s v="Female"/>
    <s v="Surat"/>
    <x v="3"/>
    <s v="Designer"/>
    <x v="4"/>
    <s v="Table Lamp"/>
    <x v="95"/>
    <n v="2"/>
    <n v="7189"/>
    <n v="12940.2"/>
    <x v="4"/>
    <s v="Website"/>
    <x v="0"/>
    <x v="0"/>
    <s v="Yes"/>
    <n v="9"/>
    <d v="2024-12-22T18:30:00"/>
    <x v="9"/>
    <x v="2"/>
  </r>
  <r>
    <s v="C059"/>
    <x v="29"/>
    <n v="21"/>
    <s v="Male"/>
    <s v="Lucknow"/>
    <x v="2"/>
    <s v="Student"/>
    <x v="2"/>
    <s v="Smartwatch"/>
    <x v="95"/>
    <n v="1"/>
    <n v="49924"/>
    <n v="49924"/>
    <x v="0"/>
    <s v="Mobile App"/>
    <x v="0"/>
    <x v="1"/>
    <s v="No"/>
    <n v="3"/>
    <d v="2024-11-07T18:30:00"/>
    <x v="9"/>
    <x v="4"/>
  </r>
  <r>
    <s v="C037"/>
    <x v="7"/>
    <n v="60"/>
    <s v="Male"/>
    <s v="Jaipur"/>
    <x v="2"/>
    <s v="Student"/>
    <x v="4"/>
    <s v="Cookware Set"/>
    <x v="96"/>
    <n v="1"/>
    <n v="4568"/>
    <n v="4111.2"/>
    <x v="0"/>
    <s v="Website"/>
    <x v="2"/>
    <x v="0"/>
    <s v="Yes"/>
    <n v="8"/>
    <d v="2024-11-26T18:30:00"/>
    <x v="9"/>
    <x v="0"/>
  </r>
  <r>
    <s v="C027"/>
    <x v="2"/>
    <n v="55"/>
    <s v="Female"/>
    <s v="Lucknow"/>
    <x v="2"/>
    <s v="Designer"/>
    <x v="2"/>
    <s v="Smartwatch"/>
    <x v="97"/>
    <n v="2"/>
    <n v="12675"/>
    <n v="25350"/>
    <x v="2"/>
    <s v="Mobile App"/>
    <x v="2"/>
    <x v="0"/>
    <s v="No"/>
    <n v="16"/>
    <d v="2024-12-20T18:30:00"/>
    <x v="9"/>
    <x v="0"/>
  </r>
  <r>
    <s v="C023"/>
    <x v="41"/>
    <n v="32"/>
    <s v="Female"/>
    <s v="Jaipur"/>
    <x v="2"/>
    <s v="Software Engineer"/>
    <x v="1"/>
    <s v="Fitness Band"/>
    <x v="98"/>
    <n v="2"/>
    <n v="538"/>
    <n v="914.6"/>
    <x v="0"/>
    <s v="In-Store"/>
    <x v="1"/>
    <x v="2"/>
    <s v="Yes"/>
    <n v="2"/>
    <d v="2024-10-23T18:30:00"/>
    <x v="9"/>
    <x v="2"/>
  </r>
  <r>
    <s v="C011"/>
    <x v="32"/>
    <n v="63"/>
    <s v="Male"/>
    <s v="Bhubaneswar"/>
    <x v="1"/>
    <s v="Business Owner"/>
    <x v="4"/>
    <s v="Bed Sheet Set"/>
    <x v="99"/>
    <n v="1"/>
    <n v="6236"/>
    <n v="6236"/>
    <x v="1"/>
    <s v="Mobile App"/>
    <x v="2"/>
    <x v="0"/>
    <s v="No"/>
    <n v="7"/>
    <d v="2024-12-13T18:30:00"/>
    <x v="9"/>
    <x v="0"/>
  </r>
  <r>
    <s v="C051"/>
    <x v="24"/>
    <n v="60"/>
    <s v="Female"/>
    <s v="Pune"/>
    <x v="3"/>
    <s v="Teacher"/>
    <x v="4"/>
    <s v="Bed Sheet Set"/>
    <x v="100"/>
    <n v="3"/>
    <n v="6452"/>
    <n v="19356"/>
    <x v="1"/>
    <s v="In-Store"/>
    <x v="1"/>
    <x v="0"/>
    <s v="No"/>
    <n v="5"/>
    <d v="2024-12-02T18:30:00"/>
    <x v="9"/>
    <x v="0"/>
  </r>
  <r>
    <s v="C060"/>
    <x v="5"/>
    <n v="60"/>
    <s v="Male"/>
    <s v="Guwahati"/>
    <x v="1"/>
    <s v="Sales Manager"/>
    <x v="4"/>
    <s v="Cookware Set"/>
    <x v="101"/>
    <n v="1"/>
    <n v="1626"/>
    <n v="1626"/>
    <x v="0"/>
    <s v="Mobile App"/>
    <x v="1"/>
    <x v="0"/>
    <s v="No"/>
    <n v="6"/>
    <d v="2024-11-23T18:30:00"/>
    <x v="9"/>
    <x v="0"/>
  </r>
  <r>
    <s v="C025"/>
    <x v="4"/>
    <n v="29"/>
    <s v="Female"/>
    <s v="Guwahati"/>
    <x v="1"/>
    <s v="Software Engineer"/>
    <x v="1"/>
    <s v="Cricket Bat"/>
    <x v="102"/>
    <n v="2"/>
    <n v="2741"/>
    <n v="5482"/>
    <x v="2"/>
    <s v="Mobile App"/>
    <x v="1"/>
    <x v="1"/>
    <s v="No"/>
    <n v="3"/>
    <d v="2024-10-16T18:30:00"/>
    <x v="9"/>
    <x v="2"/>
  </r>
  <r>
    <s v="C039"/>
    <x v="0"/>
    <n v="58"/>
    <s v="Male"/>
    <s v="Bengaluru"/>
    <x v="0"/>
    <s v="Sales Manager"/>
    <x v="5"/>
    <s v="Face Serum"/>
    <x v="102"/>
    <n v="2"/>
    <n v="648"/>
    <n v="1296"/>
    <x v="3"/>
    <s v="Mobile App"/>
    <x v="0"/>
    <x v="0"/>
    <s v="No"/>
    <n v="12"/>
    <d v="2024-12-27T18:30:00"/>
    <x v="9"/>
    <x v="0"/>
  </r>
  <r>
    <s v="C051"/>
    <x v="24"/>
    <n v="60"/>
    <s v="Female"/>
    <s v="Pune"/>
    <x v="3"/>
    <s v="Teacher"/>
    <x v="3"/>
    <s v="Olive Oil"/>
    <x v="103"/>
    <n v="3"/>
    <n v="2311"/>
    <n v="5546.4"/>
    <x v="0"/>
    <s v="Mobile App"/>
    <x v="1"/>
    <x v="0"/>
    <s v="Yes"/>
    <n v="5"/>
    <d v="2024-12-02T18:30:00"/>
    <x v="9"/>
    <x v="0"/>
  </r>
  <r>
    <s v="C007"/>
    <x v="8"/>
    <n v="48"/>
    <s v="Male"/>
    <s v="Patna"/>
    <x v="1"/>
    <s v="Sales Manager"/>
    <x v="5"/>
    <s v="Lipstick"/>
    <x v="104"/>
    <n v="2"/>
    <n v="2068"/>
    <n v="3308.8"/>
    <x v="0"/>
    <s v="Website"/>
    <x v="1"/>
    <x v="0"/>
    <s v="Yes"/>
    <n v="5"/>
    <d v="2024-10-19T18:30:00"/>
    <x v="9"/>
    <x v="3"/>
  </r>
  <r>
    <s v="C018"/>
    <x v="9"/>
    <n v="55"/>
    <s v="Female"/>
    <s v="Kolkata"/>
    <x v="1"/>
    <s v="Designer"/>
    <x v="1"/>
    <s v="Football"/>
    <x v="104"/>
    <n v="1"/>
    <n v="4552"/>
    <n v="3869.2"/>
    <x v="1"/>
    <s v="Website"/>
    <x v="1"/>
    <x v="0"/>
    <s v="Yes"/>
    <n v="5"/>
    <d v="2024-10-19T18:30:00"/>
    <x v="9"/>
    <x v="0"/>
  </r>
  <r>
    <s v="C034"/>
    <x v="15"/>
    <n v="60"/>
    <s v="Male"/>
    <s v="Pune"/>
    <x v="3"/>
    <s v="Designer"/>
    <x v="4"/>
    <s v="Mixer Grinder"/>
    <x v="105"/>
    <n v="2"/>
    <n v="5134"/>
    <n v="8214.4"/>
    <x v="3"/>
    <s v="Mobile App"/>
    <x v="0"/>
    <x v="0"/>
    <s v="Yes"/>
    <n v="11"/>
    <d v="2024-12-01T18:30:00"/>
    <x v="9"/>
    <x v="0"/>
  </r>
  <r>
    <s v="C055"/>
    <x v="18"/>
    <n v="20"/>
    <s v="Male"/>
    <s v="Guwahati"/>
    <x v="1"/>
    <s v="Accountant"/>
    <x v="5"/>
    <s v="Lipstick"/>
    <x v="105"/>
    <n v="1"/>
    <n v="1748"/>
    <n v="1748"/>
    <x v="1"/>
    <s v="In-Store"/>
    <x v="2"/>
    <x v="0"/>
    <s v="No"/>
    <n v="9"/>
    <d v="2024-11-23T18:30:00"/>
    <x v="9"/>
    <x v="4"/>
  </r>
  <r>
    <s v="C039"/>
    <x v="0"/>
    <n v="58"/>
    <s v="Male"/>
    <s v="Bengaluru"/>
    <x v="0"/>
    <s v="Sales Manager"/>
    <x v="4"/>
    <s v="Cookware Set"/>
    <x v="106"/>
    <n v="2"/>
    <n v="3201"/>
    <n v="6081.9"/>
    <x v="3"/>
    <s v="Mobile App"/>
    <x v="0"/>
    <x v="0"/>
    <s v="Yes"/>
    <n v="12"/>
    <d v="2024-12-27T18:30:00"/>
    <x v="9"/>
    <x v="0"/>
  </r>
  <r>
    <s v="C023"/>
    <x v="41"/>
    <n v="32"/>
    <s v="Female"/>
    <s v="Jaipur"/>
    <x v="2"/>
    <s v="Software Engineer"/>
    <x v="5"/>
    <s v="Sunscreen"/>
    <x v="107"/>
    <n v="1"/>
    <n v="3341"/>
    <n v="3341"/>
    <x v="1"/>
    <s v="Website"/>
    <x v="1"/>
    <x v="2"/>
    <s v="No"/>
    <n v="2"/>
    <d v="2024-10-23T18:30:00"/>
    <x v="9"/>
    <x v="2"/>
  </r>
  <r>
    <s v="C041"/>
    <x v="10"/>
    <n v="48"/>
    <s v="Female"/>
    <s v="Lucknow"/>
    <x v="2"/>
    <s v="Software Engineer"/>
    <x v="2"/>
    <s v="Smartwatch"/>
    <x v="108"/>
    <n v="1"/>
    <n v="35257"/>
    <n v="35257"/>
    <x v="2"/>
    <s v="Website"/>
    <x v="0"/>
    <x v="1"/>
    <s v="No"/>
    <n v="4"/>
    <d v="2024-12-17T18:30:00"/>
    <x v="9"/>
    <x v="3"/>
  </r>
  <r>
    <s v="C001"/>
    <x v="42"/>
    <n v="39"/>
    <s v="Male"/>
    <s v="Jaipur"/>
    <x v="2"/>
    <s v="Consultant"/>
    <x v="2"/>
    <s v="Smartphone"/>
    <x v="109"/>
    <n v="1"/>
    <n v="54787"/>
    <n v="54787"/>
    <x v="0"/>
    <s v="Mobile App"/>
    <x v="0"/>
    <x v="2"/>
    <s v="No"/>
    <n v="1"/>
    <d v="2024-11-03T18:30:00"/>
    <x v="10"/>
    <x v="1"/>
  </r>
  <r>
    <s v="C044"/>
    <x v="33"/>
    <n v="26"/>
    <s v="Male"/>
    <s v="Lucknow"/>
    <x v="2"/>
    <s v="Retired"/>
    <x v="1"/>
    <s v="Football"/>
    <x v="109"/>
    <n v="3"/>
    <n v="1131"/>
    <n v="3393"/>
    <x v="1"/>
    <s v="In-Store"/>
    <x v="0"/>
    <x v="1"/>
    <s v="No"/>
    <n v="3"/>
    <d v="2024-11-03T18:30:00"/>
    <x v="10"/>
    <x v="2"/>
  </r>
  <r>
    <s v="C034"/>
    <x v="15"/>
    <n v="60"/>
    <s v="Male"/>
    <s v="Pune"/>
    <x v="3"/>
    <s v="Designer"/>
    <x v="1"/>
    <s v="Football"/>
    <x v="110"/>
    <n v="1"/>
    <n v="4261"/>
    <n v="4047.95"/>
    <x v="1"/>
    <s v="Mobile App"/>
    <x v="0"/>
    <x v="0"/>
    <s v="Yes"/>
    <n v="11"/>
    <d v="2024-12-01T18:30:00"/>
    <x v="10"/>
    <x v="0"/>
  </r>
  <r>
    <s v="C005"/>
    <x v="36"/>
    <n v="56"/>
    <s v="Female"/>
    <s v="Kolkata"/>
    <x v="1"/>
    <s v="Student"/>
    <x v="1"/>
    <s v="Yoga Mat"/>
    <x v="111"/>
    <n v="1"/>
    <n v="2017"/>
    <n v="1714.45"/>
    <x v="3"/>
    <s v="Website"/>
    <x v="0"/>
    <x v="0"/>
    <s v="Yes"/>
    <n v="7"/>
    <d v="2024-12-20T18:30:00"/>
    <x v="10"/>
    <x v="0"/>
  </r>
  <r>
    <s v="C033"/>
    <x v="43"/>
    <n v="23"/>
    <s v="Male"/>
    <s v="Chennai"/>
    <x v="0"/>
    <s v="Teacher"/>
    <x v="3"/>
    <s v="Coffee Pack"/>
    <x v="111"/>
    <n v="1"/>
    <n v="1124"/>
    <n v="1011.6"/>
    <x v="0"/>
    <s v="In-Store"/>
    <x v="1"/>
    <x v="2"/>
    <s v="Yes"/>
    <n v="1"/>
    <d v="2024-11-06T18:30:00"/>
    <x v="10"/>
    <x v="4"/>
  </r>
  <r>
    <s v="C037"/>
    <x v="7"/>
    <n v="60"/>
    <s v="Male"/>
    <s v="Jaipur"/>
    <x v="2"/>
    <s v="Student"/>
    <x v="0"/>
    <s v="Running Shoes"/>
    <x v="111"/>
    <n v="1"/>
    <n v="5146"/>
    <n v="5146"/>
    <x v="1"/>
    <s v="Mobile App"/>
    <x v="2"/>
    <x v="0"/>
    <s v="No"/>
    <n v="8"/>
    <d v="2024-11-26T18:30:00"/>
    <x v="10"/>
    <x v="0"/>
  </r>
  <r>
    <s v="C005"/>
    <x v="36"/>
    <n v="56"/>
    <s v="Female"/>
    <s v="Kolkata"/>
    <x v="1"/>
    <s v="Student"/>
    <x v="1"/>
    <s v="Dumbbell Set"/>
    <x v="112"/>
    <n v="1"/>
    <n v="3671"/>
    <n v="3671"/>
    <x v="0"/>
    <s v="Mobile App"/>
    <x v="0"/>
    <x v="0"/>
    <s v="No"/>
    <n v="7"/>
    <d v="2024-12-20T18:30:00"/>
    <x v="10"/>
    <x v="0"/>
  </r>
  <r>
    <s v="C059"/>
    <x v="29"/>
    <n v="21"/>
    <s v="Male"/>
    <s v="Lucknow"/>
    <x v="2"/>
    <s v="Student"/>
    <x v="5"/>
    <s v="Perfume"/>
    <x v="112"/>
    <n v="3"/>
    <n v="2318"/>
    <n v="5910.9"/>
    <x v="4"/>
    <s v="Website"/>
    <x v="0"/>
    <x v="1"/>
    <s v="Yes"/>
    <n v="3"/>
    <d v="2024-11-07T18:30:00"/>
    <x v="10"/>
    <x v="4"/>
  </r>
  <r>
    <s v="C056"/>
    <x v="23"/>
    <n v="57"/>
    <s v="Male"/>
    <s v="Bengaluru"/>
    <x v="0"/>
    <s v="Consultant"/>
    <x v="0"/>
    <s v="Running Shoes"/>
    <x v="113"/>
    <n v="3"/>
    <n v="3090"/>
    <n v="9270"/>
    <x v="3"/>
    <s v="Mobile App"/>
    <x v="1"/>
    <x v="1"/>
    <s v="No"/>
    <n v="3"/>
    <d v="2024-11-11T18:30:00"/>
    <x v="10"/>
    <x v="0"/>
  </r>
  <r>
    <s v="C057"/>
    <x v="1"/>
    <n v="62"/>
    <s v="Female"/>
    <s v="Guwahati"/>
    <x v="1"/>
    <s v="Doctor"/>
    <x v="0"/>
    <s v="Sunglasses"/>
    <x v="113"/>
    <n v="2"/>
    <n v="716"/>
    <n v="1217.2"/>
    <x v="3"/>
    <s v="Website"/>
    <x v="1"/>
    <x v="1"/>
    <s v="Yes"/>
    <n v="4"/>
    <d v="2024-11-11T18:30:00"/>
    <x v="10"/>
    <x v="0"/>
  </r>
  <r>
    <s v="C041"/>
    <x v="10"/>
    <n v="48"/>
    <s v="Female"/>
    <s v="Lucknow"/>
    <x v="2"/>
    <s v="Software Engineer"/>
    <x v="0"/>
    <s v="Cotton Kurta"/>
    <x v="114"/>
    <n v="1"/>
    <n v="5294"/>
    <n v="5294"/>
    <x v="1"/>
    <s v="Mobile App"/>
    <x v="0"/>
    <x v="1"/>
    <s v="No"/>
    <n v="4"/>
    <d v="2024-12-17T18:30:00"/>
    <x v="10"/>
    <x v="3"/>
  </r>
  <r>
    <s v="C046"/>
    <x v="28"/>
    <n v="63"/>
    <s v="Male"/>
    <s v="Mumbai"/>
    <x v="3"/>
    <s v="Student"/>
    <x v="1"/>
    <s v="Football"/>
    <x v="114"/>
    <n v="1"/>
    <n v="637"/>
    <n v="637"/>
    <x v="2"/>
    <s v="Mobile App"/>
    <x v="1"/>
    <x v="0"/>
    <s v="No"/>
    <n v="5"/>
    <d v="2024-12-23T18:30:00"/>
    <x v="10"/>
    <x v="0"/>
  </r>
  <r>
    <s v="C020"/>
    <x v="26"/>
    <n v="25"/>
    <s v="Male"/>
    <s v="Bengaluru"/>
    <x v="0"/>
    <s v="Teacher"/>
    <x v="4"/>
    <s v="Cookware Set"/>
    <x v="115"/>
    <n v="1"/>
    <n v="7469"/>
    <n v="6722.1"/>
    <x v="1"/>
    <s v="Mobile App"/>
    <x v="1"/>
    <x v="1"/>
    <s v="Yes"/>
    <n v="3"/>
    <d v="2024-11-13T18:30:00"/>
    <x v="10"/>
    <x v="2"/>
  </r>
  <r>
    <s v="C005"/>
    <x v="36"/>
    <n v="56"/>
    <s v="Female"/>
    <s v="Kolkata"/>
    <x v="1"/>
    <s v="Student"/>
    <x v="4"/>
    <s v="Bed Sheet Set"/>
    <x v="116"/>
    <n v="3"/>
    <n v="2852"/>
    <n v="8128.2"/>
    <x v="0"/>
    <s v="Website"/>
    <x v="0"/>
    <x v="0"/>
    <s v="Yes"/>
    <n v="7"/>
    <d v="2024-12-20T18:30:00"/>
    <x v="10"/>
    <x v="0"/>
  </r>
  <r>
    <s v="C037"/>
    <x v="7"/>
    <n v="60"/>
    <s v="Male"/>
    <s v="Jaipur"/>
    <x v="2"/>
    <s v="Student"/>
    <x v="2"/>
    <s v="Smartphone"/>
    <x v="117"/>
    <n v="1"/>
    <n v="32868"/>
    <n v="32868"/>
    <x v="1"/>
    <s v="Website"/>
    <x v="2"/>
    <x v="0"/>
    <s v="No"/>
    <n v="8"/>
    <d v="2024-11-26T18:30:00"/>
    <x v="10"/>
    <x v="0"/>
  </r>
  <r>
    <s v="C049"/>
    <x v="35"/>
    <n v="31"/>
    <s v="Female"/>
    <s v="Bengaluru"/>
    <x v="0"/>
    <s v="Business Owner"/>
    <x v="1"/>
    <s v="Football"/>
    <x v="117"/>
    <n v="2"/>
    <n v="700"/>
    <n v="1400"/>
    <x v="1"/>
    <s v="Mobile App"/>
    <x v="1"/>
    <x v="1"/>
    <s v="No"/>
    <n v="3"/>
    <d v="2024-12-12T18:30:00"/>
    <x v="10"/>
    <x v="2"/>
  </r>
  <r>
    <s v="C027"/>
    <x v="2"/>
    <n v="55"/>
    <s v="Female"/>
    <s v="Lucknow"/>
    <x v="2"/>
    <s v="Designer"/>
    <x v="4"/>
    <s v="Mixer Grinder"/>
    <x v="118"/>
    <n v="1"/>
    <n v="7176"/>
    <n v="6817.2"/>
    <x v="4"/>
    <s v="Mobile App"/>
    <x v="2"/>
    <x v="0"/>
    <s v="Yes"/>
    <n v="16"/>
    <d v="2024-12-20T18:30:00"/>
    <x v="10"/>
    <x v="0"/>
  </r>
  <r>
    <s v="C039"/>
    <x v="0"/>
    <n v="58"/>
    <s v="Male"/>
    <s v="Bengaluru"/>
    <x v="0"/>
    <s v="Sales Manager"/>
    <x v="4"/>
    <s v="Table Lamp"/>
    <x v="119"/>
    <n v="3"/>
    <n v="434"/>
    <n v="1302"/>
    <x v="0"/>
    <s v="Website"/>
    <x v="0"/>
    <x v="0"/>
    <s v="No"/>
    <n v="12"/>
    <d v="2024-12-27T18:30:00"/>
    <x v="10"/>
    <x v="0"/>
  </r>
  <r>
    <s v="C011"/>
    <x v="32"/>
    <n v="63"/>
    <s v="Male"/>
    <s v="Bhubaneswar"/>
    <x v="1"/>
    <s v="Business Owner"/>
    <x v="0"/>
    <s v="Sunglasses"/>
    <x v="120"/>
    <n v="2"/>
    <n v="5972"/>
    <n v="11944"/>
    <x v="0"/>
    <s v="Mobile App"/>
    <x v="2"/>
    <x v="0"/>
    <s v="No"/>
    <n v="7"/>
    <d v="2024-12-13T18:30:00"/>
    <x v="10"/>
    <x v="0"/>
  </r>
  <r>
    <s v="C039"/>
    <x v="0"/>
    <n v="58"/>
    <s v="Male"/>
    <s v="Bengaluru"/>
    <x v="0"/>
    <s v="Sales Manager"/>
    <x v="2"/>
    <s v="Wireless Earbuds"/>
    <x v="120"/>
    <n v="1"/>
    <n v="66720"/>
    <n v="66720"/>
    <x v="1"/>
    <s v="Website"/>
    <x v="0"/>
    <x v="0"/>
    <s v="No"/>
    <n v="12"/>
    <d v="2024-12-27T18:30:00"/>
    <x v="10"/>
    <x v="0"/>
  </r>
  <r>
    <s v="C034"/>
    <x v="15"/>
    <n v="60"/>
    <s v="Male"/>
    <s v="Pune"/>
    <x v="3"/>
    <s v="Designer"/>
    <x v="0"/>
    <s v="Handbag"/>
    <x v="121"/>
    <n v="2"/>
    <n v="3552"/>
    <n v="6038.4"/>
    <x v="0"/>
    <s v="Mobile App"/>
    <x v="0"/>
    <x v="0"/>
    <s v="Yes"/>
    <n v="11"/>
    <d v="2024-12-01T18:30:00"/>
    <x v="10"/>
    <x v="0"/>
  </r>
  <r>
    <s v="C055"/>
    <x v="18"/>
    <n v="20"/>
    <s v="Male"/>
    <s v="Guwahati"/>
    <x v="1"/>
    <s v="Accountant"/>
    <x v="5"/>
    <s v="Shampoo"/>
    <x v="121"/>
    <n v="1"/>
    <n v="485"/>
    <n v="388"/>
    <x v="0"/>
    <s v="Mobile App"/>
    <x v="2"/>
    <x v="0"/>
    <s v="Yes"/>
    <n v="9"/>
    <d v="2024-11-23T18:30:00"/>
    <x v="10"/>
    <x v="4"/>
  </r>
  <r>
    <s v="C060"/>
    <x v="5"/>
    <n v="60"/>
    <s v="Male"/>
    <s v="Guwahati"/>
    <x v="1"/>
    <s v="Sales Manager"/>
    <x v="4"/>
    <s v="Table Lamp"/>
    <x v="121"/>
    <n v="2"/>
    <n v="7296"/>
    <n v="14592"/>
    <x v="0"/>
    <s v="Website"/>
    <x v="1"/>
    <x v="0"/>
    <s v="No"/>
    <n v="6"/>
    <d v="2024-11-23T18:30:00"/>
    <x v="10"/>
    <x v="0"/>
  </r>
  <r>
    <s v="C008"/>
    <x v="27"/>
    <n v="63"/>
    <s v="Male"/>
    <s v="Kochi"/>
    <x v="0"/>
    <s v="Consultant"/>
    <x v="2"/>
    <s v="Wireless Earbuds"/>
    <x v="122"/>
    <n v="2"/>
    <n v="36625"/>
    <n v="73250"/>
    <x v="0"/>
    <s v="Mobile App"/>
    <x v="0"/>
    <x v="2"/>
    <s v="No"/>
    <n v="2"/>
    <d v="2024-11-24T18:30:00"/>
    <x v="10"/>
    <x v="0"/>
  </r>
  <r>
    <s v="C022"/>
    <x v="31"/>
    <n v="48"/>
    <s v="Female"/>
    <s v="Jaipur"/>
    <x v="2"/>
    <s v="Accountant"/>
    <x v="0"/>
    <s v="Sunglasses"/>
    <x v="123"/>
    <n v="3"/>
    <n v="5052"/>
    <n v="13640.4"/>
    <x v="2"/>
    <s v="In-Store"/>
    <x v="1"/>
    <x v="2"/>
    <s v="Yes"/>
    <n v="2"/>
    <d v="2024-11-25T18:30:00"/>
    <x v="10"/>
    <x v="3"/>
  </r>
  <r>
    <s v="C002"/>
    <x v="25"/>
    <n v="23"/>
    <s v="Female"/>
    <s v="Jaipur"/>
    <x v="2"/>
    <s v="Retired"/>
    <x v="5"/>
    <s v="Perfume"/>
    <x v="124"/>
    <n v="1"/>
    <n v="2233"/>
    <n v="2233"/>
    <x v="3"/>
    <s v="Website"/>
    <x v="1"/>
    <x v="1"/>
    <s v="No"/>
    <n v="3"/>
    <d v="2024-11-26T18:30:00"/>
    <x v="10"/>
    <x v="4"/>
  </r>
  <r>
    <s v="C004"/>
    <x v="3"/>
    <n v="36"/>
    <s v="Male"/>
    <s v="Patna"/>
    <x v="1"/>
    <s v="Retired"/>
    <x v="3"/>
    <s v="Dry Fruits Box"/>
    <x v="124"/>
    <n v="1"/>
    <n v="748"/>
    <n v="598.4"/>
    <x v="3"/>
    <s v="In-Store"/>
    <x v="0"/>
    <x v="0"/>
    <s v="Yes"/>
    <n v="7"/>
    <d v="2024-11-26T18:30:00"/>
    <x v="10"/>
    <x v="1"/>
  </r>
  <r>
    <s v="C027"/>
    <x v="2"/>
    <n v="55"/>
    <s v="Female"/>
    <s v="Lucknow"/>
    <x v="2"/>
    <s v="Designer"/>
    <x v="4"/>
    <s v="Mixer Grinder"/>
    <x v="124"/>
    <n v="3"/>
    <n v="2846"/>
    <n v="6830.4"/>
    <x v="1"/>
    <s v="Website"/>
    <x v="2"/>
    <x v="0"/>
    <s v="Yes"/>
    <n v="16"/>
    <d v="2024-12-20T18:30:00"/>
    <x v="10"/>
    <x v="0"/>
  </r>
  <r>
    <s v="C037"/>
    <x v="7"/>
    <n v="60"/>
    <s v="Male"/>
    <s v="Jaipur"/>
    <x v="2"/>
    <s v="Student"/>
    <x v="1"/>
    <s v="Dumbbell Set"/>
    <x v="124"/>
    <n v="2"/>
    <n v="4600"/>
    <n v="9200"/>
    <x v="2"/>
    <s v="Mobile App"/>
    <x v="2"/>
    <x v="0"/>
    <s v="No"/>
    <n v="8"/>
    <d v="2024-11-26T18:30:00"/>
    <x v="10"/>
    <x v="0"/>
  </r>
  <r>
    <s v="C009"/>
    <x v="16"/>
    <n v="27"/>
    <s v="Male"/>
    <s v="Hyderabad"/>
    <x v="0"/>
    <s v="Student"/>
    <x v="3"/>
    <s v="Basmati Rice 5kg"/>
    <x v="125"/>
    <n v="1"/>
    <n v="2510"/>
    <n v="2510"/>
    <x v="3"/>
    <s v="Mobile App"/>
    <x v="1"/>
    <x v="0"/>
    <s v="No"/>
    <n v="8"/>
    <d v="2024-12-23T18:30:00"/>
    <x v="10"/>
    <x v="2"/>
  </r>
  <r>
    <s v="C010"/>
    <x v="13"/>
    <n v="26"/>
    <s v="Female"/>
    <s v="Surat"/>
    <x v="3"/>
    <s v="Designer"/>
    <x v="1"/>
    <s v="Dumbbell Set"/>
    <x v="126"/>
    <n v="1"/>
    <n v="3577"/>
    <n v="3398.15"/>
    <x v="0"/>
    <s v="Website"/>
    <x v="0"/>
    <x v="0"/>
    <s v="Yes"/>
    <n v="9"/>
    <d v="2024-12-22T18:30:00"/>
    <x v="10"/>
    <x v="2"/>
  </r>
  <r>
    <s v="C034"/>
    <x v="15"/>
    <n v="60"/>
    <s v="Male"/>
    <s v="Pune"/>
    <x v="3"/>
    <s v="Designer"/>
    <x v="5"/>
    <s v="Sunscreen"/>
    <x v="127"/>
    <n v="1"/>
    <n v="1079"/>
    <n v="1025.05"/>
    <x v="0"/>
    <s v="Mobile App"/>
    <x v="0"/>
    <x v="0"/>
    <s v="Yes"/>
    <n v="11"/>
    <d v="2024-12-01T18:30:00"/>
    <x v="11"/>
    <x v="0"/>
  </r>
  <r>
    <s v="C051"/>
    <x v="24"/>
    <n v="60"/>
    <s v="Female"/>
    <s v="Pune"/>
    <x v="3"/>
    <s v="Teacher"/>
    <x v="2"/>
    <s v="Wireless Earbuds"/>
    <x v="128"/>
    <n v="2"/>
    <n v="3565"/>
    <n v="6060.5"/>
    <x v="0"/>
    <s v="Website"/>
    <x v="1"/>
    <x v="0"/>
    <s v="Yes"/>
    <n v="5"/>
    <d v="2024-12-02T18:30:00"/>
    <x v="11"/>
    <x v="0"/>
  </r>
  <r>
    <s v="C039"/>
    <x v="0"/>
    <n v="58"/>
    <s v="Male"/>
    <s v="Bengaluru"/>
    <x v="0"/>
    <s v="Sales Manager"/>
    <x v="5"/>
    <s v="Perfume"/>
    <x v="129"/>
    <n v="2"/>
    <n v="627"/>
    <n v="1003.2"/>
    <x v="2"/>
    <s v="Mobile App"/>
    <x v="0"/>
    <x v="0"/>
    <s v="Yes"/>
    <n v="12"/>
    <d v="2024-12-27T18:30:00"/>
    <x v="11"/>
    <x v="0"/>
  </r>
  <r>
    <s v="C012"/>
    <x v="19"/>
    <n v="40"/>
    <s v="Female"/>
    <s v="Bhubaneswar"/>
    <x v="1"/>
    <s v="Teacher"/>
    <x v="5"/>
    <s v="Lipstick"/>
    <x v="130"/>
    <n v="3"/>
    <n v="1971"/>
    <n v="5913"/>
    <x v="2"/>
    <s v="Website"/>
    <x v="2"/>
    <x v="1"/>
    <s v="No"/>
    <n v="4"/>
    <d v="2024-12-08T18:30:00"/>
    <x v="11"/>
    <x v="1"/>
  </r>
  <r>
    <s v="C021"/>
    <x v="17"/>
    <n v="40"/>
    <s v="Female"/>
    <s v="Surat"/>
    <x v="3"/>
    <s v="Accountant"/>
    <x v="2"/>
    <s v="Laptop"/>
    <x v="131"/>
    <n v="2"/>
    <n v="62608"/>
    <n v="125216"/>
    <x v="0"/>
    <s v="In-Store"/>
    <x v="2"/>
    <x v="1"/>
    <s v="No"/>
    <n v="3"/>
    <d v="2024-12-11T18:30:00"/>
    <x v="11"/>
    <x v="1"/>
  </r>
  <r>
    <s v="C049"/>
    <x v="35"/>
    <n v="31"/>
    <s v="Female"/>
    <s v="Bengaluru"/>
    <x v="0"/>
    <s v="Business Owner"/>
    <x v="3"/>
    <s v="Coffee Pack"/>
    <x v="132"/>
    <n v="1"/>
    <n v="340"/>
    <n v="340"/>
    <x v="1"/>
    <s v="In-Store"/>
    <x v="1"/>
    <x v="1"/>
    <s v="No"/>
    <n v="3"/>
    <d v="2024-12-12T18:30:00"/>
    <x v="11"/>
    <x v="2"/>
  </r>
  <r>
    <s v="C011"/>
    <x v="32"/>
    <n v="63"/>
    <s v="Male"/>
    <s v="Bhubaneswar"/>
    <x v="1"/>
    <s v="Business Owner"/>
    <x v="3"/>
    <s v="Olive Oil"/>
    <x v="133"/>
    <n v="1"/>
    <n v="311"/>
    <n v="311"/>
    <x v="0"/>
    <s v="Website"/>
    <x v="2"/>
    <x v="0"/>
    <s v="No"/>
    <n v="7"/>
    <d v="2024-12-13T18:30:00"/>
    <x v="11"/>
    <x v="0"/>
  </r>
  <r>
    <s v="C027"/>
    <x v="2"/>
    <n v="55"/>
    <s v="Female"/>
    <s v="Lucknow"/>
    <x v="2"/>
    <s v="Designer"/>
    <x v="5"/>
    <s v="Sunscreen"/>
    <x v="133"/>
    <n v="2"/>
    <n v="2164"/>
    <n v="4328"/>
    <x v="4"/>
    <s v="Mobile App"/>
    <x v="2"/>
    <x v="0"/>
    <s v="No"/>
    <n v="16"/>
    <d v="2024-12-20T18:30:00"/>
    <x v="11"/>
    <x v="0"/>
  </r>
  <r>
    <s v="C027"/>
    <x v="2"/>
    <n v="55"/>
    <s v="Female"/>
    <s v="Lucknow"/>
    <x v="2"/>
    <s v="Designer"/>
    <x v="3"/>
    <s v="Coffee Pack"/>
    <x v="133"/>
    <n v="1"/>
    <n v="336"/>
    <n v="336"/>
    <x v="0"/>
    <s v="Mobile App"/>
    <x v="2"/>
    <x v="0"/>
    <s v="No"/>
    <n v="16"/>
    <d v="2024-12-20T18:30:00"/>
    <x v="11"/>
    <x v="0"/>
  </r>
  <r>
    <s v="C014"/>
    <x v="30"/>
    <n v="39"/>
    <s v="Male"/>
    <s v="Chennai"/>
    <x v="0"/>
    <s v="Consultant"/>
    <x v="1"/>
    <s v="Fitness Band"/>
    <x v="134"/>
    <n v="1"/>
    <n v="2771"/>
    <n v="2632.45"/>
    <x v="0"/>
    <s v="Website"/>
    <x v="1"/>
    <x v="2"/>
    <s v="Yes"/>
    <n v="2"/>
    <d v="2024-12-16T18:30:00"/>
    <x v="11"/>
    <x v="1"/>
  </r>
  <r>
    <s v="C027"/>
    <x v="2"/>
    <n v="55"/>
    <s v="Female"/>
    <s v="Lucknow"/>
    <x v="2"/>
    <s v="Designer"/>
    <x v="1"/>
    <s v="Fitness Band"/>
    <x v="135"/>
    <n v="3"/>
    <n v="4089"/>
    <n v="12267"/>
    <x v="0"/>
    <s v="Mobile App"/>
    <x v="2"/>
    <x v="0"/>
    <s v="No"/>
    <n v="16"/>
    <d v="2024-12-20T18:30:00"/>
    <x v="11"/>
    <x v="0"/>
  </r>
  <r>
    <s v="C041"/>
    <x v="10"/>
    <n v="48"/>
    <s v="Female"/>
    <s v="Lucknow"/>
    <x v="2"/>
    <s v="Software Engineer"/>
    <x v="5"/>
    <s v="Perfume"/>
    <x v="135"/>
    <n v="2"/>
    <n v="2858"/>
    <n v="5716"/>
    <x v="2"/>
    <s v="In-Store"/>
    <x v="0"/>
    <x v="1"/>
    <s v="No"/>
    <n v="4"/>
    <d v="2024-12-17T18:30:00"/>
    <x v="11"/>
    <x v="3"/>
  </r>
  <r>
    <s v="C039"/>
    <x v="0"/>
    <n v="58"/>
    <s v="Male"/>
    <s v="Bengaluru"/>
    <x v="0"/>
    <s v="Sales Manager"/>
    <x v="0"/>
    <s v="Sunglasses"/>
    <x v="136"/>
    <n v="1"/>
    <n v="1779"/>
    <n v="1779"/>
    <x v="0"/>
    <s v="Mobile App"/>
    <x v="0"/>
    <x v="0"/>
    <s v="No"/>
    <n v="12"/>
    <d v="2024-12-27T18:30:00"/>
    <x v="11"/>
    <x v="0"/>
  </r>
  <r>
    <s v="C005"/>
    <x v="36"/>
    <n v="56"/>
    <s v="Female"/>
    <s v="Kolkata"/>
    <x v="1"/>
    <s v="Student"/>
    <x v="5"/>
    <s v="Shampoo"/>
    <x v="137"/>
    <n v="1"/>
    <n v="1475"/>
    <n v="1475"/>
    <x v="0"/>
    <s v="Mobile App"/>
    <x v="0"/>
    <x v="0"/>
    <s v="No"/>
    <n v="7"/>
    <d v="2024-12-20T18:30:00"/>
    <x v="11"/>
    <x v="0"/>
  </r>
  <r>
    <s v="C027"/>
    <x v="2"/>
    <n v="55"/>
    <s v="Female"/>
    <s v="Lucknow"/>
    <x v="2"/>
    <s v="Designer"/>
    <x v="2"/>
    <s v="Smartphone"/>
    <x v="137"/>
    <n v="2"/>
    <n v="51112"/>
    <n v="102224"/>
    <x v="3"/>
    <s v="Website"/>
    <x v="2"/>
    <x v="0"/>
    <s v="No"/>
    <n v="16"/>
    <d v="2024-12-20T18:30:00"/>
    <x v="11"/>
    <x v="0"/>
  </r>
  <r>
    <s v="C010"/>
    <x v="13"/>
    <n v="26"/>
    <s v="Female"/>
    <s v="Surat"/>
    <x v="3"/>
    <s v="Designer"/>
    <x v="0"/>
    <s v="Denim Jacket"/>
    <x v="138"/>
    <n v="2"/>
    <n v="742"/>
    <n v="1484"/>
    <x v="4"/>
    <s v="Mobile App"/>
    <x v="0"/>
    <x v="0"/>
    <s v="No"/>
    <n v="9"/>
    <d v="2024-12-22T18:30:00"/>
    <x v="11"/>
    <x v="2"/>
  </r>
  <r>
    <s v="C046"/>
    <x v="28"/>
    <n v="63"/>
    <s v="Male"/>
    <s v="Mumbai"/>
    <x v="3"/>
    <s v="Student"/>
    <x v="2"/>
    <s v="Bluetooth Speaker"/>
    <x v="138"/>
    <n v="1"/>
    <n v="8434"/>
    <n v="7168.9"/>
    <x v="0"/>
    <s v="Mobile App"/>
    <x v="1"/>
    <x v="0"/>
    <s v="Yes"/>
    <n v="5"/>
    <d v="2024-12-23T18:30:00"/>
    <x v="11"/>
    <x v="0"/>
  </r>
  <r>
    <s v="C009"/>
    <x v="16"/>
    <n v="27"/>
    <s v="Male"/>
    <s v="Hyderabad"/>
    <x v="0"/>
    <s v="Student"/>
    <x v="0"/>
    <s v="Handbag"/>
    <x v="139"/>
    <n v="2"/>
    <n v="7035"/>
    <n v="14070"/>
    <x v="0"/>
    <s v="Mobile App"/>
    <x v="1"/>
    <x v="0"/>
    <s v="No"/>
    <n v="8"/>
    <d v="2024-12-23T18:30:00"/>
    <x v="11"/>
    <x v="2"/>
  </r>
  <r>
    <s v="C046"/>
    <x v="28"/>
    <n v="63"/>
    <s v="Male"/>
    <s v="Mumbai"/>
    <x v="3"/>
    <s v="Student"/>
    <x v="3"/>
    <s v="Coffee Pack"/>
    <x v="139"/>
    <n v="1"/>
    <n v="1700"/>
    <n v="1615"/>
    <x v="4"/>
    <s v="Website"/>
    <x v="1"/>
    <x v="0"/>
    <s v="Yes"/>
    <n v="5"/>
    <d v="2024-12-23T18:30:00"/>
    <x v="11"/>
    <x v="0"/>
  </r>
  <r>
    <s v="C039"/>
    <x v="0"/>
    <n v="58"/>
    <s v="Male"/>
    <s v="Bengaluru"/>
    <x v="0"/>
    <s v="Sales Manager"/>
    <x v="2"/>
    <s v="Laptop"/>
    <x v="140"/>
    <n v="1"/>
    <n v="13498"/>
    <n v="13498"/>
    <x v="0"/>
    <s v="Website"/>
    <x v="0"/>
    <x v="0"/>
    <s v="No"/>
    <n v="12"/>
    <d v="2024-12-27T18:30:00"/>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0B7B55-5B79-4985-AF22-35D0F0A68696}" name="ptSeg"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G1:H5" firstHeaderRow="1" firstDataRow="1" firstDataCol="1"/>
  <pivotFields count="22">
    <pivotField showAll="0"/>
    <pivotField showAll="0"/>
    <pivotField showAll="0"/>
    <pivotField showAll="0"/>
    <pivotField showAll="0"/>
    <pivotField showAll="0">
      <items count="5">
        <item x="1"/>
        <item x="2"/>
        <item x="0"/>
        <item x="3"/>
        <item t="default"/>
      </items>
    </pivotField>
    <pivotField showAll="0"/>
    <pivotField showAll="0">
      <items count="7">
        <item x="5"/>
        <item x="2"/>
        <item x="0"/>
        <item x="3"/>
        <item x="4"/>
        <item x="1"/>
        <item t="default"/>
      </items>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dataField="1" numFmtId="3"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64" showAll="0"/>
    <pivotField showAll="0"/>
    <pivotField showAll="0"/>
  </pivotFields>
  <rowFields count="1">
    <field x="15"/>
  </rowFields>
  <rowItems count="4">
    <i>
      <x v="1"/>
    </i>
    <i>
      <x/>
    </i>
    <i>
      <x v="2"/>
    </i>
    <i t="grand">
      <x/>
    </i>
  </rowItems>
  <colItems count="1">
    <i/>
  </colItems>
  <dataFields count="1">
    <dataField name="Total Total Purchase Value" fld="1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0"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16245C-C119-415A-8DEB-DAE93692D91A}" name="ptPay"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S1:T7" firstHeaderRow="1" firstDataRow="1" firstDataCol="1"/>
  <pivotFields count="22">
    <pivotField showAll="0"/>
    <pivotField showAll="0"/>
    <pivotField showAll="0"/>
    <pivotField showAll="0"/>
    <pivotField showAll="0"/>
    <pivotField showAll="0">
      <items count="5">
        <item x="1"/>
        <item x="2"/>
        <item x="0"/>
        <item x="3"/>
        <item t="default"/>
      </items>
    </pivotField>
    <pivotField showAll="0"/>
    <pivotField showAll="0">
      <items count="7">
        <item x="5"/>
        <item x="2"/>
        <item x="0"/>
        <item x="3"/>
        <item x="4"/>
        <item x="1"/>
        <item t="default"/>
      </items>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dataField="1" numFmtId="3" showAll="0"/>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items count="4">
        <item x="2"/>
        <item x="0"/>
        <item x="1"/>
        <item t="default"/>
      </items>
    </pivotField>
    <pivotField showAll="0"/>
    <pivotField showAll="0"/>
    <pivotField numFmtId="164" showAll="0"/>
    <pivotField showAll="0"/>
    <pivotField showAll="0"/>
  </pivotFields>
  <rowFields count="1">
    <field x="13"/>
  </rowFields>
  <rowItems count="6">
    <i>
      <x v="4"/>
    </i>
    <i>
      <x v="3"/>
    </i>
    <i>
      <x v="2"/>
    </i>
    <i>
      <x/>
    </i>
    <i>
      <x v="1"/>
    </i>
    <i t="grand">
      <x/>
    </i>
  </rowItems>
  <colItems count="1">
    <i/>
  </colItems>
  <dataFields count="1">
    <dataField name="Total Total Purchase Value" fld="12" baseField="0" baseItem="0" numFmtId="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4"/>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0" format="5">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filters count="1">
    <filter fld="9" type="dateBetween" evalOrder="-1" id="10"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AA36FD-7FA9-449B-96BE-5EA3C49A16F0}" name="ptTop"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M1:N12" firstHeaderRow="1" firstDataRow="1" firstDataCol="1"/>
  <pivotFields count="22">
    <pivotField showAll="0"/>
    <pivotField axis="axisRow" showAll="0" measureFilter="1" sortType="descending">
      <items count="45">
        <item x="3"/>
        <item x="20"/>
        <item x="28"/>
        <item x="9"/>
        <item x="14"/>
        <item x="7"/>
        <item x="43"/>
        <item x="27"/>
        <item x="41"/>
        <item x="2"/>
        <item x="12"/>
        <item x="29"/>
        <item x="8"/>
        <item x="24"/>
        <item x="42"/>
        <item x="16"/>
        <item x="22"/>
        <item x="39"/>
        <item x="6"/>
        <item x="32"/>
        <item x="31"/>
        <item x="23"/>
        <item x="19"/>
        <item x="21"/>
        <item x="11"/>
        <item x="17"/>
        <item x="25"/>
        <item x="30"/>
        <item x="5"/>
        <item x="33"/>
        <item x="26"/>
        <item x="10"/>
        <item x="4"/>
        <item x="36"/>
        <item x="15"/>
        <item x="18"/>
        <item x="38"/>
        <item x="35"/>
        <item x="40"/>
        <item x="1"/>
        <item x="34"/>
        <item x="0"/>
        <item x="37"/>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1"/>
        <item x="2"/>
        <item x="0"/>
        <item x="3"/>
        <item t="default"/>
      </items>
    </pivotField>
    <pivotField showAll="0"/>
    <pivotField showAll="0">
      <items count="7">
        <item x="5"/>
        <item x="2"/>
        <item x="0"/>
        <item x="3"/>
        <item x="4"/>
        <item x="1"/>
        <item t="default"/>
      </items>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dataField="1" numFmtId="3" showAll="0"/>
    <pivotField showAll="0"/>
    <pivotField showAll="0"/>
    <pivotField showAll="0">
      <items count="4">
        <item x="1"/>
        <item x="2"/>
        <item x="0"/>
        <item t="default"/>
      </items>
    </pivotField>
    <pivotField showAll="0">
      <items count="4">
        <item x="2"/>
        <item x="0"/>
        <item x="1"/>
        <item t="default"/>
      </items>
    </pivotField>
    <pivotField showAll="0"/>
    <pivotField showAll="0"/>
    <pivotField numFmtId="164" showAll="0"/>
    <pivotField showAll="0"/>
    <pivotField showAll="0"/>
  </pivotFields>
  <rowFields count="1">
    <field x="1"/>
  </rowFields>
  <rowItems count="11">
    <i>
      <x v="25"/>
    </i>
    <i>
      <x v="9"/>
    </i>
    <i>
      <x v="41"/>
    </i>
    <i>
      <x v="15"/>
    </i>
    <i>
      <x v="2"/>
    </i>
    <i>
      <x v="13"/>
    </i>
    <i>
      <x v="22"/>
    </i>
    <i>
      <x v="31"/>
    </i>
    <i>
      <x v="27"/>
    </i>
    <i>
      <x v="43"/>
    </i>
    <i t="grand">
      <x/>
    </i>
  </rowItems>
  <colItems count="1">
    <i/>
  </colItems>
  <dataFields count="1">
    <dataField name="Total Total Purchase Value" fld="1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dateBetween" evalOrder="-1" id="11"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 fld="1"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6E65AF-92C8-4FE2-892E-686094C40BA3}" name="ptRegion"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J1:K6" firstHeaderRow="1" firstDataRow="1" firstDataCol="1"/>
  <pivotFields count="22">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items count="7">
        <item x="5"/>
        <item x="2"/>
        <item x="0"/>
        <item x="3"/>
        <item x="4"/>
        <item x="1"/>
        <item t="default"/>
      </items>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dataField="1" numFmtId="3" showAll="0"/>
    <pivotField showAll="0"/>
    <pivotField showAll="0"/>
    <pivotField showAll="0">
      <items count="4">
        <item x="1"/>
        <item x="2"/>
        <item x="0"/>
        <item t="default"/>
      </items>
    </pivotField>
    <pivotField showAll="0">
      <items count="4">
        <item x="2"/>
        <item x="0"/>
        <item x="1"/>
        <item t="default"/>
      </items>
    </pivotField>
    <pivotField showAll="0"/>
    <pivotField showAll="0"/>
    <pivotField numFmtId="164" showAll="0"/>
    <pivotField showAll="0"/>
    <pivotField showAll="0"/>
  </pivotFields>
  <rowFields count="1">
    <field x="5"/>
  </rowFields>
  <rowItems count="5">
    <i>
      <x v="3"/>
    </i>
    <i>
      <x v="1"/>
    </i>
    <i>
      <x v="2"/>
    </i>
    <i>
      <x/>
    </i>
    <i t="grand">
      <x/>
    </i>
  </rowItems>
  <colItems count="1">
    <i/>
  </colItems>
  <dataFields count="1">
    <dataField name="Total Total Purchase Value" fld="1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0"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4D8596-A247-414E-B5AF-D60F929C5D95}" name="ptCat"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D1:E7" firstHeaderRow="1" firstDataRow="1" firstDataCol="1"/>
  <pivotFields count="22">
    <pivotField showAll="0"/>
    <pivotField showAll="0"/>
    <pivotField showAll="0"/>
    <pivotField showAll="0"/>
    <pivotField showAll="0"/>
    <pivotField showAll="0">
      <items count="5">
        <item x="1"/>
        <item x="2"/>
        <item x="0"/>
        <item x="3"/>
        <item t="default"/>
      </items>
    </pivotField>
    <pivotField showAll="0"/>
    <pivotField axis="axisRow" showAll="0" sortType="descending">
      <items count="7">
        <item x="5"/>
        <item x="2"/>
        <item x="0"/>
        <item x="3"/>
        <item x="4"/>
        <item x="1"/>
        <item t="default"/>
      </items>
      <autoSortScope>
        <pivotArea dataOnly="0" outline="0" fieldPosition="0">
          <references count="1">
            <reference field="4294967294" count="1" selected="0">
              <x v="0"/>
            </reference>
          </references>
        </pivotArea>
      </autoSortScope>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dataField="1" numFmtId="3" showAll="0"/>
    <pivotField showAll="0"/>
    <pivotField showAll="0"/>
    <pivotField showAll="0">
      <items count="4">
        <item x="1"/>
        <item x="2"/>
        <item x="0"/>
        <item t="default"/>
      </items>
    </pivotField>
    <pivotField showAll="0">
      <items count="4">
        <item x="2"/>
        <item x="0"/>
        <item x="1"/>
        <item t="default"/>
      </items>
    </pivotField>
    <pivotField showAll="0"/>
    <pivotField showAll="0"/>
    <pivotField numFmtId="164" showAll="0"/>
    <pivotField showAll="0"/>
    <pivotField showAll="0"/>
  </pivotFields>
  <rowFields count="1">
    <field x="7"/>
  </rowFields>
  <rowItems count="6">
    <i>
      <x v="1"/>
    </i>
    <i>
      <x/>
    </i>
    <i>
      <x v="2"/>
    </i>
    <i>
      <x v="5"/>
    </i>
    <i>
      <x v="3"/>
    </i>
    <i t="grand">
      <x/>
    </i>
  </rowItems>
  <colItems count="1">
    <i/>
  </colItems>
  <dataFields count="1">
    <dataField name="Total Total Purchase Value" fld="1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0"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B942D3-B87A-482A-9F0B-0F5F61781AD7}" name="ptHeat"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location ref="Y1:AE7" firstHeaderRow="1" firstDataRow="2" firstDataCol="1"/>
  <pivotFields count="22">
    <pivotField showAll="0"/>
    <pivotField showAll="0"/>
    <pivotField showAll="0"/>
    <pivotField showAll="0"/>
    <pivotField showAll="0"/>
    <pivotField axis="axisRow" showAll="0">
      <items count="5">
        <item x="1"/>
        <item x="2"/>
        <item x="0"/>
        <item x="3"/>
        <item t="default"/>
      </items>
    </pivotField>
    <pivotField showAll="0"/>
    <pivotField axis="axisCol" showAll="0">
      <items count="7">
        <item x="5"/>
        <item x="2"/>
        <item x="0"/>
        <item x="3"/>
        <item x="4"/>
        <item x="1"/>
        <item t="default"/>
      </items>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dataField="1" numFmtId="3" showAll="0"/>
    <pivotField showAll="0"/>
    <pivotField showAll="0"/>
    <pivotField showAll="0">
      <items count="4">
        <item x="1"/>
        <item x="2"/>
        <item x="0"/>
        <item t="default"/>
      </items>
    </pivotField>
    <pivotField showAll="0">
      <items count="4">
        <item x="2"/>
        <item x="0"/>
        <item x="1"/>
        <item t="default"/>
      </items>
    </pivotField>
    <pivotField showAll="0"/>
    <pivotField showAll="0"/>
    <pivotField numFmtId="164" showAll="0"/>
    <pivotField showAll="0"/>
    <pivotField showAll="0"/>
  </pivotFields>
  <rowFields count="1">
    <field x="5"/>
  </rowFields>
  <rowItems count="5">
    <i>
      <x/>
    </i>
    <i>
      <x v="1"/>
    </i>
    <i>
      <x v="2"/>
    </i>
    <i>
      <x v="3"/>
    </i>
    <i t="grand">
      <x/>
    </i>
  </rowItems>
  <colFields count="1">
    <field x="7"/>
  </colFields>
  <colItems count="6">
    <i>
      <x/>
    </i>
    <i>
      <x v="1"/>
    </i>
    <i>
      <x v="2"/>
    </i>
    <i>
      <x v="3"/>
    </i>
    <i>
      <x v="5"/>
    </i>
    <i t="grand">
      <x/>
    </i>
  </colItems>
  <dataFields count="1">
    <dataField name="Heat Revenue" fld="12" baseField="0" baseItem="0" numFmtId="3"/>
  </dataFields>
  <pivotTableStyleInfo name="PivotStyleLight16" showRowHeaders="1" showColHeaders="1" showRowStripes="0" showColStripes="0" showLastColumn="1"/>
  <filters count="1">
    <filter fld="9" type="dateBetween" evalOrder="-1" id="10"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072FF3-F12B-4C5D-8122-05B3C629E9DB}" name="ptMonth"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A1:B3" firstHeaderRow="1" firstDataRow="1" firstDataCol="1"/>
  <pivotFields count="22">
    <pivotField showAll="0"/>
    <pivotField showAll="0"/>
    <pivotField showAll="0"/>
    <pivotField showAll="0"/>
    <pivotField showAll="0"/>
    <pivotField showAll="0">
      <items count="5">
        <item x="1"/>
        <item x="2"/>
        <item x="0"/>
        <item x="3"/>
        <item t="default"/>
      </items>
    </pivotField>
    <pivotField showAll="0"/>
    <pivotField showAll="0">
      <items count="7">
        <item x="5"/>
        <item x="2"/>
        <item x="0"/>
        <item x="3"/>
        <item x="4"/>
        <item x="1"/>
        <item t="default"/>
      </items>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dataField="1" numFmtId="3" showAll="0"/>
    <pivotField showAll="0"/>
    <pivotField showAll="0"/>
    <pivotField showAll="0">
      <items count="4">
        <item x="1"/>
        <item x="2"/>
        <item x="0"/>
        <item t="default"/>
      </items>
    </pivotField>
    <pivotField showAll="0">
      <items count="4">
        <item x="2"/>
        <item x="0"/>
        <item x="1"/>
        <item t="default"/>
      </items>
    </pivotField>
    <pivotField showAll="0"/>
    <pivotField showAll="0"/>
    <pivotField numFmtId="164" showAll="0"/>
    <pivotField axis="axisRow" showAll="0">
      <items count="13">
        <item x="0"/>
        <item x="1"/>
        <item x="2"/>
        <item x="3"/>
        <item x="4"/>
        <item x="5"/>
        <item x="6"/>
        <item x="7"/>
        <item x="8"/>
        <item x="9"/>
        <item x="10"/>
        <item x="11"/>
        <item t="default"/>
      </items>
    </pivotField>
    <pivotField showAll="0"/>
  </pivotFields>
  <rowFields count="1">
    <field x="20"/>
  </rowFields>
  <rowItems count="2">
    <i>
      <x v="11"/>
    </i>
    <i t="grand">
      <x/>
    </i>
  </rowItems>
  <colItems count="1">
    <i/>
  </colItems>
  <dataFields count="1">
    <dataField name="Total Total Purchase Value" fld="1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0"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A60108-A52B-4FF6-A05C-58B5BA3AA291}" name="ptAge"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P1:Q6" firstHeaderRow="1" firstDataRow="1" firstDataCol="1"/>
  <pivotFields count="22">
    <pivotField showAll="0"/>
    <pivotField showAll="0"/>
    <pivotField showAll="0"/>
    <pivotField showAll="0"/>
    <pivotField showAll="0"/>
    <pivotField showAll="0">
      <items count="5">
        <item x="1"/>
        <item x="2"/>
        <item x="0"/>
        <item x="3"/>
        <item t="default"/>
      </items>
    </pivotField>
    <pivotField showAll="0"/>
    <pivotField showAll="0">
      <items count="7">
        <item x="5"/>
        <item x="2"/>
        <item x="0"/>
        <item x="3"/>
        <item x="4"/>
        <item x="1"/>
        <item t="default"/>
      </items>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dataField="1" numFmtId="3" showAll="0"/>
    <pivotField showAll="0"/>
    <pivotField showAll="0"/>
    <pivotField showAll="0">
      <items count="4">
        <item x="1"/>
        <item x="2"/>
        <item x="0"/>
        <item t="default"/>
      </items>
    </pivotField>
    <pivotField showAll="0">
      <items count="4">
        <item x="2"/>
        <item x="0"/>
        <item x="1"/>
        <item t="default"/>
      </items>
    </pivotField>
    <pivotField showAll="0"/>
    <pivotField showAll="0"/>
    <pivotField numFmtId="164" showAll="0"/>
    <pivotField showAll="0"/>
    <pivotField axis="axisRow" showAll="0">
      <items count="6">
        <item x="4"/>
        <item x="2"/>
        <item x="1"/>
        <item x="3"/>
        <item x="0"/>
        <item t="default"/>
      </items>
    </pivotField>
  </pivotFields>
  <rowFields count="1">
    <field x="21"/>
  </rowFields>
  <rowItems count="5">
    <i>
      <x v="1"/>
    </i>
    <i>
      <x v="2"/>
    </i>
    <i>
      <x v="3"/>
    </i>
    <i>
      <x v="4"/>
    </i>
    <i t="grand">
      <x/>
    </i>
  </rowItems>
  <colItems count="1">
    <i/>
  </colItems>
  <dataFields count="1">
    <dataField name="Total Total Purchase Value" fld="1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0"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B74A41-9DCF-410A-9890-8A656E9D358B}" name="ptFreq"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V1:W5" firstHeaderRow="1" firstDataRow="1" firstDataCol="1"/>
  <pivotFields count="22">
    <pivotField dataField="1" showAll="0"/>
    <pivotField showAll="0"/>
    <pivotField showAll="0"/>
    <pivotField showAll="0"/>
    <pivotField showAll="0"/>
    <pivotField showAll="0">
      <items count="5">
        <item x="1"/>
        <item x="2"/>
        <item x="0"/>
        <item x="3"/>
        <item t="default"/>
      </items>
    </pivotField>
    <pivotField showAll="0"/>
    <pivotField showAll="0">
      <items count="7">
        <item x="5"/>
        <item x="2"/>
        <item x="0"/>
        <item x="3"/>
        <item x="4"/>
        <item x="1"/>
        <item t="default"/>
      </items>
    </pivotField>
    <pivotField showAll="0"/>
    <pivotField numFmtId="16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numFmtId="3" showAll="0"/>
    <pivotField numFmtId="3" showAll="0"/>
    <pivotField showAll="0"/>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s>
  <rowFields count="1">
    <field x="16"/>
  </rowFields>
  <rowItems count="4">
    <i>
      <x v="1"/>
    </i>
    <i>
      <x v="2"/>
    </i>
    <i>
      <x/>
    </i>
    <i t="grand">
      <x/>
    </i>
  </rowItems>
  <colItems count="1">
    <i/>
  </colItems>
  <dataFields count="1">
    <dataField name="Count Custom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0" name="Purchase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FE0BB5-961F-4376-96C3-0C22DD87133A}" sourceName="Region">
  <pivotTables>
    <pivotTable tabId="2" name="ptMonth"/>
    <pivotTable tabId="2" name="ptCat"/>
    <pivotTable tabId="2" name="ptSeg"/>
    <pivotTable tabId="2" name="ptRegion"/>
    <pivotTable tabId="2" name="ptTop"/>
    <pivotTable tabId="2" name="ptAge"/>
    <pivotTable tabId="2" name="ptPay"/>
    <pivotTable tabId="2" name="ptFreq"/>
    <pivotTable tabId="2" name="ptHeat"/>
  </pivotTables>
  <data>
    <tabular pivotCacheId="1125969658">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FD99AAB-CFC9-4C6C-A4B5-492A2F0FEE14}" sourceName="Product Category">
  <pivotTables>
    <pivotTable tabId="2" name="ptMonth"/>
    <pivotTable tabId="2" name="ptCat"/>
    <pivotTable tabId="2" name="ptSeg"/>
    <pivotTable tabId="2" name="ptRegion"/>
    <pivotTable tabId="2" name="ptTop"/>
    <pivotTable tabId="2" name="ptAge"/>
    <pivotTable tabId="2" name="ptPay"/>
    <pivotTable tabId="2" name="ptFreq"/>
    <pivotTable tabId="2" name="ptHeat"/>
  </pivotTables>
  <data>
    <tabular pivotCacheId="1125969658">
      <items count="6">
        <i x="5" s="1"/>
        <i x="2" s="1"/>
        <i x="0"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A05BC29-BBFF-43C7-9851-CDEAAD6E1407}" sourceName="Customer Segment">
  <pivotTables>
    <pivotTable tabId="2" name="ptMonth"/>
    <pivotTable tabId="2" name="ptCat"/>
    <pivotTable tabId="2" name="ptSeg"/>
    <pivotTable tabId="2" name="ptRegion"/>
    <pivotTable tabId="2" name="ptTop"/>
    <pivotTable tabId="2" name="ptAge"/>
    <pivotTable tabId="2" name="ptPay"/>
    <pivotTable tabId="2" name="ptFreq"/>
    <pivotTable tabId="2" name="ptHeat"/>
  </pivotTables>
  <data>
    <tabular pivotCacheId="1125969658">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Status" xr10:uid="{8C93A3A6-92E3-45F3-87BB-640E3D959A45}" sourceName="Loyalty Status">
  <pivotTables>
    <pivotTable tabId="2" name="ptMonth"/>
    <pivotTable tabId="2" name="ptCat"/>
    <pivotTable tabId="2" name="ptSeg"/>
    <pivotTable tabId="2" name="ptRegion"/>
    <pivotTable tabId="2" name="ptTop"/>
    <pivotTable tabId="2" name="ptAge"/>
    <pivotTable tabId="2" name="ptPay"/>
    <pivotTable tabId="2" name="ptFreq"/>
    <pivotTable tabId="2" name="ptHeat"/>
  </pivotTables>
  <data>
    <tabular pivotCacheId="112596965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Region" xr10:uid="{1E19C2AE-E571-4778-AA36-5F982E1748E1}" cache="Slicer_Region" caption="Region" rowHeight="234950"/>
  <slicer name="sl_ProductCategory" xr10:uid="{3C3BDBBD-B13D-4EC2-908B-F1830184EB38}" cache="Slicer_Product_Category" caption="Product Category" rowHeight="234950"/>
  <slicer name="sl_CustomerSegment" xr10:uid="{F2E07987-748B-4AF3-B852-AB5E8AF260AB}" cache="Slicer_Customer_Segment" caption="Customer Segment" rowHeight="234950"/>
  <slicer name="sl_LoyaltyStatus" xr10:uid="{965410A0-717D-4E2F-91F3-07170121EABB}" cache="Slicer_Loyalty_Status" caption="Loyalty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2BAD7D-D689-425C-AC4E-9AF55DAABDA7}" name="tblSales" displayName="tblSales" ref="A1:V201" totalsRowShown="0">
  <autoFilter ref="A1:V201" xr:uid="{BD2BAD7D-D689-425C-AC4E-9AF55DAABDA7}"/>
  <tableColumns count="22">
    <tableColumn id="1" xr3:uid="{F88102C9-4F2F-4B24-91C5-DA6B10C6D14E}" name="Customer ID"/>
    <tableColumn id="2" xr3:uid="{A903B9B9-3869-44F6-BEDA-7DF67F110D17}" name="Customer Name"/>
    <tableColumn id="3" xr3:uid="{EE9F9E75-55EC-454F-8066-740F25F9A917}" name="Age"/>
    <tableColumn id="4" xr3:uid="{428CE531-80CF-4285-B195-EF04DFB83322}" name="Gender"/>
    <tableColumn id="5" xr3:uid="{62389E31-2F16-45CF-A740-CA7742011957}" name="City"/>
    <tableColumn id="6" xr3:uid="{421BD904-E25B-4544-A5F1-E2E146D2CE37}" name="Region"/>
    <tableColumn id="7" xr3:uid="{B6C36120-27D7-4035-BA21-A1EF558B90C7}" name="Occupation"/>
    <tableColumn id="8" xr3:uid="{511B79E6-F698-436C-AB04-25B255E5A2EB}" name="Product Category"/>
    <tableColumn id="9" xr3:uid="{3F2FE365-02F4-42B8-BF2D-1F468CD4B4DD}" name="Product Name"/>
    <tableColumn id="10" xr3:uid="{81F5154B-5412-40FC-94F7-D269391541B7}" name="Purchase Date" dataDxfId="5"/>
    <tableColumn id="11" xr3:uid="{49727BCE-FF78-4B49-AD2F-BF166030424D}" name="Quantity Purchased"/>
    <tableColumn id="12" xr3:uid="{8F9A34C9-E235-49ED-A72D-72993DE90244}" name="Unit Price" dataDxfId="4"/>
    <tableColumn id="13" xr3:uid="{29E5E817-8145-438D-B93F-2305B0A8DD45}" name="Total Purchase Value" dataDxfId="3"/>
    <tableColumn id="14" xr3:uid="{9272B43D-1985-435A-9C51-CF0FE4D232B8}" name="Payment Method"/>
    <tableColumn id="15" xr3:uid="{18366239-54BC-4419-8272-C2CFAC553522}" name="Purchase Channel"/>
    <tableColumn id="16" xr3:uid="{5FD57AE2-BCAE-4338-82C9-B784F6A16BEC}" name="Customer Segment"/>
    <tableColumn id="17" xr3:uid="{50965572-AF63-4289-B91A-683ECEEB2EE8}" name="Loyalty Status"/>
    <tableColumn id="18" xr3:uid="{CF1AAC08-FF9F-4BB8-8358-44DB53C65D93}" name="Discount Used"/>
    <tableColumn id="19" xr3:uid="{99F29269-81C9-4578-A44F-CD6AA8B96F24}" name="Purchase Frequency"/>
    <tableColumn id="20" xr3:uid="{238921A9-0B49-4A4D-9F3B-09D96EB88216}" name="Last Purchase Date" dataDxfId="2"/>
    <tableColumn id="21" xr3:uid="{BDD5570A-1DB9-4C08-8295-1C7C7C5B1403}" name="Month" dataDxfId="1">
      <calculatedColumnFormula>TEXT(tblSales[[#This Row],[Purchase Date]],"yyyy-mm")</calculatedColumnFormula>
    </tableColumn>
    <tableColumn id="22" xr3:uid="{273F855E-0481-43BE-8DF9-9A67AED9B202}" name="Age Group" dataDxfId="0">
      <calculatedColumnFormula>IF(tblSales[[#This Row],[Age]]&lt;25,"18-24",IF(tblSales[[#This Row],[Age]]&lt;35,"25-34",IF(tblSales[[#This Row],[Age]]&lt;45,"35-44",IF(tblSales[[#This Row],[Age]]&lt;55,"45-54","55+"))))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PD" xr10:uid="{67651DCF-26CA-485A-843C-672D3B7B457E}" sourceName="Purchase Date">
  <pivotTables>
    <pivotTable tabId="2" name="ptMonth"/>
    <pivotTable tabId="2" name="ptCat"/>
    <pivotTable tabId="2" name="ptSeg"/>
    <pivotTable tabId="2" name="ptRegion"/>
    <pivotTable tabId="2" name="ptTop"/>
    <pivotTable tabId="2" name="ptAge"/>
    <pivotTable tabId="2" name="ptPay"/>
    <pivotTable tabId="2" name="ptFreq"/>
    <pivotTable tabId="2" name="ptHeat"/>
  </pivotTables>
  <state minimalRefreshVersion="6" lastRefreshVersion="6" pivotCacheId="1125969658" filterType="dateBetween">
    <selection startDate="2024-12-01T00:00:00" endDate="2024-12-31T00:00:00"/>
    <bounds startDate="2024-01-01T18:30:00" endDate="2025-01-01T18:3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l_PurchaseDate" xr10:uid="{9D718CA0-8C2A-4043-8695-D467237E60D0}" cache="TimelinePD" caption="Purchase Date" level="2" selectionLevel="2"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2A903-AA3D-4229-8DA0-B59E764B0886}">
  <dimension ref="B2:Q45"/>
  <sheetViews>
    <sheetView showGridLines="0" tabSelected="1" zoomScale="40" zoomScaleNormal="40" workbookViewId="0">
      <selection activeCell="S52" sqref="A1:S52"/>
    </sheetView>
  </sheetViews>
  <sheetFormatPr defaultRowHeight="16.8" x14ac:dyDescent="0.4"/>
  <cols>
    <col min="1" max="1" width="8.88671875" style="6"/>
    <col min="2" max="13" width="12.77734375" style="6" customWidth="1"/>
    <col min="14" max="16" width="9" style="6" bestFit="1" customWidth="1"/>
    <col min="17" max="17" width="9.6640625" style="6" bestFit="1" customWidth="1"/>
    <col min="18" max="16384" width="8.88671875" style="6"/>
  </cols>
  <sheetData>
    <row r="2" spans="2:13" x14ac:dyDescent="0.4">
      <c r="B2" s="12" t="s">
        <v>206</v>
      </c>
      <c r="C2" s="10"/>
      <c r="D2" s="10"/>
      <c r="E2" s="10"/>
      <c r="F2" s="10"/>
      <c r="G2" s="10"/>
      <c r="H2" s="10"/>
      <c r="I2" s="10"/>
      <c r="J2" s="10"/>
      <c r="K2" s="10"/>
      <c r="L2" s="10"/>
      <c r="M2" s="10"/>
    </row>
    <row r="3" spans="2:13" x14ac:dyDescent="0.4">
      <c r="B3" s="10"/>
      <c r="C3" s="10"/>
      <c r="D3" s="10"/>
      <c r="E3" s="10"/>
      <c r="F3" s="10"/>
      <c r="G3" s="10"/>
      <c r="H3" s="10"/>
      <c r="I3" s="10"/>
      <c r="J3" s="10"/>
      <c r="K3" s="10"/>
      <c r="L3" s="10"/>
      <c r="M3" s="10"/>
    </row>
    <row r="4" spans="2:13" x14ac:dyDescent="0.4">
      <c r="B4" s="13" t="s">
        <v>207</v>
      </c>
      <c r="C4" s="14"/>
      <c r="D4" s="14"/>
      <c r="E4" s="14"/>
      <c r="F4" s="14"/>
      <c r="G4" s="14"/>
      <c r="H4" s="14"/>
      <c r="I4" s="14"/>
      <c r="J4" s="14"/>
      <c r="K4" s="14"/>
      <c r="L4" s="14"/>
      <c r="M4" s="14"/>
    </row>
    <row r="6" spans="2:13" x14ac:dyDescent="0.4">
      <c r="B6" s="15" t="s">
        <v>208</v>
      </c>
      <c r="C6" s="10"/>
      <c r="D6" s="17" t="s">
        <v>209</v>
      </c>
      <c r="E6" s="10"/>
      <c r="F6" s="19" t="s">
        <v>210</v>
      </c>
      <c r="G6" s="10"/>
      <c r="H6" s="21" t="s">
        <v>211</v>
      </c>
      <c r="I6" s="10"/>
      <c r="J6" s="9" t="s">
        <v>212</v>
      </c>
      <c r="K6" s="10"/>
    </row>
    <row r="7" spans="2:13" x14ac:dyDescent="0.4">
      <c r="B7" s="16" t="str">
        <f>TEXT(SUM(tblSales[Total Purchase Value])/100000,"0.0")&amp;" L"</f>
        <v>23.9 L</v>
      </c>
      <c r="C7" s="10"/>
      <c r="D7" s="18">
        <f>SUMPRODUCT(1/COUNTIF(tblSales[Customer ID],tblSales[Customer ID]))</f>
        <v>46.000000000000071</v>
      </c>
      <c r="E7" s="10"/>
      <c r="F7" s="20" t="str">
        <f>TEXT(AVERAGE(tblSales[Total Purchase Value]),"#,##0")</f>
        <v>11,926</v>
      </c>
      <c r="G7" s="10"/>
      <c r="H7" s="22" t="str">
        <f>TEXT(1-SUMPRODUCT((COUNTIF(tblSales[Customer ID],tblSales[Customer ID])=1)/COUNTIF(tblSales[Customer ID],tblSales[Customer ID]))/SUMPRODUCT(1/COUNTIF(tblSales[Customer ID],tblSales[Customer ID])),"0%")</f>
        <v>85%</v>
      </c>
      <c r="I7" s="10"/>
      <c r="J7" s="11" t="str">
        <f>TEXT(SUM(tblSales[Total Purchase Value])/SUMPRODUCT(1/COUNTIF(tblSales[Customer ID],tblSales[Customer ID])),"#,##0")</f>
        <v>51,851</v>
      </c>
      <c r="K7" s="10"/>
    </row>
    <row r="8" spans="2:13" x14ac:dyDescent="0.4">
      <c r="B8" s="10"/>
      <c r="C8" s="10"/>
      <c r="D8" s="10"/>
      <c r="E8" s="10"/>
      <c r="F8" s="10"/>
      <c r="G8" s="10"/>
      <c r="H8" s="10"/>
      <c r="I8" s="10"/>
      <c r="J8" s="10"/>
      <c r="K8" s="10"/>
    </row>
    <row r="38" spans="10:17" x14ac:dyDescent="0.4">
      <c r="J38" s="7" t="s">
        <v>213</v>
      </c>
    </row>
    <row r="39" spans="10:17" x14ac:dyDescent="0.4">
      <c r="J39" s="8" t="s">
        <v>205</v>
      </c>
      <c r="K39" s="8" t="s">
        <v>204</v>
      </c>
      <c r="L39" s="8"/>
      <c r="M39" s="8"/>
      <c r="N39" s="8"/>
      <c r="O39" s="8"/>
      <c r="P39" s="8"/>
      <c r="Q39" s="8"/>
    </row>
    <row r="40" spans="10:17" x14ac:dyDescent="0.4">
      <c r="J40" s="8" t="s">
        <v>195</v>
      </c>
      <c r="K40" s="8" t="s">
        <v>93</v>
      </c>
      <c r="L40" s="8" t="s">
        <v>51</v>
      </c>
      <c r="M40" s="8" t="s">
        <v>26</v>
      </c>
      <c r="N40" s="8" t="s">
        <v>73</v>
      </c>
      <c r="O40" s="8" t="s">
        <v>82</v>
      </c>
      <c r="P40" s="8" t="s">
        <v>39</v>
      </c>
      <c r="Q40" s="8" t="s">
        <v>197</v>
      </c>
    </row>
    <row r="41" spans="10:17" x14ac:dyDescent="0.4">
      <c r="J41" s="8" t="s">
        <v>37</v>
      </c>
      <c r="K41" s="8">
        <v>19531.8</v>
      </c>
      <c r="L41" s="8">
        <v>645402.1</v>
      </c>
      <c r="M41" s="8">
        <v>75215.299999999988</v>
      </c>
      <c r="N41" s="8">
        <v>13125.599999999999</v>
      </c>
      <c r="O41" s="8">
        <v>67826.75</v>
      </c>
      <c r="P41" s="8">
        <v>32682.25</v>
      </c>
      <c r="Q41" s="8">
        <v>853783.79999999993</v>
      </c>
    </row>
    <row r="42" spans="10:17" x14ac:dyDescent="0.4">
      <c r="J42" s="8" t="s">
        <v>49</v>
      </c>
      <c r="K42" s="8">
        <v>46214.6</v>
      </c>
      <c r="L42" s="8">
        <v>603225</v>
      </c>
      <c r="M42" s="8">
        <v>43622.400000000001</v>
      </c>
      <c r="N42" s="8">
        <v>5490</v>
      </c>
      <c r="O42" s="8">
        <v>45049</v>
      </c>
      <c r="P42" s="8">
        <v>49978.2</v>
      </c>
      <c r="Q42" s="8">
        <v>793579.2</v>
      </c>
    </row>
    <row r="43" spans="10:17" x14ac:dyDescent="0.4">
      <c r="J43" s="8" t="s">
        <v>24</v>
      </c>
      <c r="K43" s="8">
        <v>20965.8</v>
      </c>
      <c r="L43" s="8">
        <v>153468</v>
      </c>
      <c r="M43" s="8">
        <v>59869.15</v>
      </c>
      <c r="N43" s="8">
        <v>16437.300000000003</v>
      </c>
      <c r="O43" s="8">
        <v>37081.15</v>
      </c>
      <c r="P43" s="8">
        <v>16771.599999999999</v>
      </c>
      <c r="Q43" s="8">
        <v>304593</v>
      </c>
    </row>
    <row r="44" spans="10:17" x14ac:dyDescent="0.4">
      <c r="J44" s="8" t="s">
        <v>98</v>
      </c>
      <c r="K44" s="8">
        <v>35432.450000000004</v>
      </c>
      <c r="L44" s="8">
        <v>199584.05</v>
      </c>
      <c r="M44" s="8">
        <v>23773.699999999997</v>
      </c>
      <c r="N44" s="8">
        <v>25136.75</v>
      </c>
      <c r="O44" s="8">
        <v>108751.29999999999</v>
      </c>
      <c r="P44" s="8">
        <v>40502.1</v>
      </c>
      <c r="Q44" s="8">
        <v>433180.35</v>
      </c>
    </row>
    <row r="45" spans="10:17" x14ac:dyDescent="0.4">
      <c r="J45" s="8" t="s">
        <v>197</v>
      </c>
      <c r="K45" s="8">
        <v>122144.65</v>
      </c>
      <c r="L45" s="8">
        <v>1601679.1500000001</v>
      </c>
      <c r="M45" s="8">
        <v>202480.55</v>
      </c>
      <c r="N45" s="8">
        <v>60189.65</v>
      </c>
      <c r="O45" s="8">
        <v>258708.19999999998</v>
      </c>
      <c r="P45" s="8">
        <v>139934.15</v>
      </c>
      <c r="Q45" s="8">
        <v>2385136.35</v>
      </c>
    </row>
  </sheetData>
  <mergeCells count="12">
    <mergeCell ref="J6:K6"/>
    <mergeCell ref="J7:K8"/>
    <mergeCell ref="B2:M3"/>
    <mergeCell ref="B4:M4"/>
    <mergeCell ref="B6:C6"/>
    <mergeCell ref="B7:C8"/>
    <mergeCell ref="D6:E6"/>
    <mergeCell ref="D7:E8"/>
    <mergeCell ref="F6:G6"/>
    <mergeCell ref="F7:G8"/>
    <mergeCell ref="H6:I6"/>
    <mergeCell ref="H7:I8"/>
  </mergeCells>
  <conditionalFormatting sqref="K40:Q45">
    <cfRule type="colorScale" priority="1">
      <colorScale>
        <cfvo type="min"/>
        <cfvo type="percentile" val="50"/>
        <cfvo type="max"/>
        <color rgb="FFFFFFFF"/>
        <color rgb="FF9BC8E6"/>
        <color rgb="FF2E86C1"/>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2529-70A8-4F76-BBB8-1774B77763EB}">
  <dimension ref="A1:V201"/>
  <sheetViews>
    <sheetView workbookViewId="0"/>
  </sheetViews>
  <sheetFormatPr defaultRowHeight="14.4" x14ac:dyDescent="0.3"/>
  <cols>
    <col min="1" max="1" width="13.5546875" bestFit="1" customWidth="1"/>
    <col min="2" max="2" width="16.88671875" bestFit="1" customWidth="1"/>
    <col min="3" max="3" width="6.44140625" bestFit="1" customWidth="1"/>
    <col min="4" max="4" width="9.33203125" bestFit="1" customWidth="1"/>
    <col min="5" max="5" width="12" bestFit="1" customWidth="1"/>
    <col min="6" max="6" width="9" bestFit="1" customWidth="1"/>
    <col min="7" max="7" width="16" bestFit="1" customWidth="1"/>
    <col min="8" max="8" width="18" bestFit="1" customWidth="1"/>
    <col min="9" max="9" width="16.109375" bestFit="1" customWidth="1"/>
    <col min="10" max="10" width="15.33203125" bestFit="1" customWidth="1"/>
    <col min="11" max="11" width="20" bestFit="1" customWidth="1"/>
    <col min="12" max="12" width="11.33203125" bestFit="1" customWidth="1"/>
    <col min="13" max="13" width="21" bestFit="1" customWidth="1"/>
    <col min="14" max="14" width="18.109375" bestFit="1" customWidth="1"/>
    <col min="15" max="15" width="18.33203125" bestFit="1" customWidth="1"/>
    <col min="16" max="16" width="19.44140625" bestFit="1" customWidth="1"/>
    <col min="17" max="17" width="15" bestFit="1" customWidth="1"/>
    <col min="18" max="18" width="15.33203125" bestFit="1" customWidth="1"/>
    <col min="19" max="19" width="20.33203125" bestFit="1" customWidth="1"/>
    <col min="20" max="20" width="19.109375" bestFit="1" customWidth="1"/>
    <col min="21" max="21" width="9" bestFit="1" customWidth="1"/>
    <col min="22" max="22" width="12.109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193</v>
      </c>
      <c r="V1" t="s">
        <v>194</v>
      </c>
    </row>
    <row r="2" spans="1:22" x14ac:dyDescent="0.3">
      <c r="A2" t="s">
        <v>20</v>
      </c>
      <c r="B2" t="s">
        <v>21</v>
      </c>
      <c r="C2">
        <v>58</v>
      </c>
      <c r="D2" t="s">
        <v>22</v>
      </c>
      <c r="E2" t="s">
        <v>23</v>
      </c>
      <c r="F2" t="s">
        <v>24</v>
      </c>
      <c r="G2" t="s">
        <v>25</v>
      </c>
      <c r="H2" t="s">
        <v>26</v>
      </c>
      <c r="I2" t="s">
        <v>27</v>
      </c>
      <c r="J2" s="1">
        <v>45292.770833333336</v>
      </c>
      <c r="K2">
        <v>1</v>
      </c>
      <c r="L2" s="2">
        <v>922</v>
      </c>
      <c r="M2" s="2">
        <v>922</v>
      </c>
      <c r="N2" t="s">
        <v>28</v>
      </c>
      <c r="O2" t="s">
        <v>29</v>
      </c>
      <c r="P2" t="s">
        <v>30</v>
      </c>
      <c r="Q2" t="s">
        <v>31</v>
      </c>
      <c r="R2" t="s">
        <v>32</v>
      </c>
      <c r="S2">
        <v>12</v>
      </c>
      <c r="T2" s="1">
        <v>45653.770833333336</v>
      </c>
      <c r="U2" s="1" t="str">
        <f>TEXT(tblSales[[#This Row],[Purchase Date]],"yyyy-mm")</f>
        <v>2024-01</v>
      </c>
      <c r="V2" s="1" t="str">
        <f>IF(tblSales[[#This Row],[Age]]&lt;25,"18-24",IF(tblSales[[#This Row],[Age]]&lt;35,"25-34",IF(tblSales[[#This Row],[Age]]&lt;45,"35-44",IF(tblSales[[#This Row],[Age]]&lt;55,"45-54","55+"))))</f>
        <v>55+</v>
      </c>
    </row>
    <row r="3" spans="1:22" x14ac:dyDescent="0.3">
      <c r="A3" t="s">
        <v>33</v>
      </c>
      <c r="B3" t="s">
        <v>34</v>
      </c>
      <c r="C3">
        <v>62</v>
      </c>
      <c r="D3" t="s">
        <v>35</v>
      </c>
      <c r="E3" t="s">
        <v>36</v>
      </c>
      <c r="F3" t="s">
        <v>37</v>
      </c>
      <c r="G3" t="s">
        <v>38</v>
      </c>
      <c r="H3" t="s">
        <v>39</v>
      </c>
      <c r="I3" t="s">
        <v>40</v>
      </c>
      <c r="J3" s="1">
        <v>45293.770833333336</v>
      </c>
      <c r="K3">
        <v>1</v>
      </c>
      <c r="L3" s="2">
        <v>635</v>
      </c>
      <c r="M3" s="2">
        <v>508</v>
      </c>
      <c r="N3" t="s">
        <v>41</v>
      </c>
      <c r="O3" t="s">
        <v>42</v>
      </c>
      <c r="P3" t="s">
        <v>43</v>
      </c>
      <c r="Q3" t="s">
        <v>44</v>
      </c>
      <c r="R3" t="s">
        <v>45</v>
      </c>
      <c r="S3">
        <v>4</v>
      </c>
      <c r="T3" s="1">
        <v>45607.770833333336</v>
      </c>
      <c r="U3" s="1" t="str">
        <f>TEXT(tblSales[[#This Row],[Purchase Date]],"yyyy-mm")</f>
        <v>2024-01</v>
      </c>
      <c r="V3" s="1" t="str">
        <f>IF(tblSales[[#This Row],[Age]]&lt;25,"18-24",IF(tblSales[[#This Row],[Age]]&lt;35,"25-34",IF(tblSales[[#This Row],[Age]]&lt;45,"35-44",IF(tblSales[[#This Row],[Age]]&lt;55,"45-54","55+"))))</f>
        <v>55+</v>
      </c>
    </row>
    <row r="4" spans="1:22" x14ac:dyDescent="0.3">
      <c r="A4" t="s">
        <v>46</v>
      </c>
      <c r="B4" t="s">
        <v>47</v>
      </c>
      <c r="C4">
        <v>55</v>
      </c>
      <c r="D4" t="s">
        <v>35</v>
      </c>
      <c r="E4" t="s">
        <v>48</v>
      </c>
      <c r="F4" t="s">
        <v>49</v>
      </c>
      <c r="G4" t="s">
        <v>50</v>
      </c>
      <c r="H4" t="s">
        <v>51</v>
      </c>
      <c r="I4" t="s">
        <v>52</v>
      </c>
      <c r="J4" s="1">
        <v>45296.770833333336</v>
      </c>
      <c r="K4">
        <v>1</v>
      </c>
      <c r="L4" s="2">
        <v>35447</v>
      </c>
      <c r="M4" s="2">
        <v>35447</v>
      </c>
      <c r="N4" t="s">
        <v>28</v>
      </c>
      <c r="O4" t="s">
        <v>53</v>
      </c>
      <c r="P4" t="s">
        <v>54</v>
      </c>
      <c r="Q4" t="s">
        <v>31</v>
      </c>
      <c r="R4" t="s">
        <v>32</v>
      </c>
      <c r="S4">
        <v>16</v>
      </c>
      <c r="T4" s="1">
        <v>45646.770833333336</v>
      </c>
      <c r="U4" s="1" t="str">
        <f>TEXT(tblSales[[#This Row],[Purchase Date]],"yyyy-mm")</f>
        <v>2024-01</v>
      </c>
      <c r="V4" s="1" t="str">
        <f>IF(tblSales[[#This Row],[Age]]&lt;25,"18-24",IF(tblSales[[#This Row],[Age]]&lt;35,"25-34",IF(tblSales[[#This Row],[Age]]&lt;45,"35-44",IF(tblSales[[#This Row],[Age]]&lt;55,"45-54","55+"))))</f>
        <v>55+</v>
      </c>
    </row>
    <row r="5" spans="1:22" x14ac:dyDescent="0.3">
      <c r="A5" t="s">
        <v>55</v>
      </c>
      <c r="B5" t="s">
        <v>56</v>
      </c>
      <c r="C5">
        <v>36</v>
      </c>
      <c r="D5" t="s">
        <v>22</v>
      </c>
      <c r="E5" t="s">
        <v>57</v>
      </c>
      <c r="F5" t="s">
        <v>37</v>
      </c>
      <c r="G5" t="s">
        <v>58</v>
      </c>
      <c r="H5" t="s">
        <v>51</v>
      </c>
      <c r="I5" t="s">
        <v>59</v>
      </c>
      <c r="J5" s="1">
        <v>45297.770833333336</v>
      </c>
      <c r="K5">
        <v>1</v>
      </c>
      <c r="L5" s="2">
        <v>57643</v>
      </c>
      <c r="M5" s="2">
        <v>48996.55</v>
      </c>
      <c r="N5" t="s">
        <v>28</v>
      </c>
      <c r="O5" t="s">
        <v>42</v>
      </c>
      <c r="P5" t="s">
        <v>30</v>
      </c>
      <c r="Q5" t="s">
        <v>31</v>
      </c>
      <c r="R5" t="s">
        <v>45</v>
      </c>
      <c r="S5">
        <v>7</v>
      </c>
      <c r="T5" s="1">
        <v>45622.770833333336</v>
      </c>
      <c r="U5" s="1" t="str">
        <f>TEXT(tblSales[[#This Row],[Purchase Date]],"yyyy-mm")</f>
        <v>2024-01</v>
      </c>
      <c r="V5" s="1" t="str">
        <f>IF(tblSales[[#This Row],[Age]]&lt;25,"18-24",IF(tblSales[[#This Row],[Age]]&lt;35,"25-34",IF(tblSales[[#This Row],[Age]]&lt;45,"35-44",IF(tblSales[[#This Row],[Age]]&lt;55,"45-54","55+"))))</f>
        <v>35-44</v>
      </c>
    </row>
    <row r="6" spans="1:22" x14ac:dyDescent="0.3">
      <c r="A6" t="s">
        <v>46</v>
      </c>
      <c r="B6" t="s">
        <v>47</v>
      </c>
      <c r="C6">
        <v>55</v>
      </c>
      <c r="D6" t="s">
        <v>35</v>
      </c>
      <c r="E6" t="s">
        <v>48</v>
      </c>
      <c r="F6" t="s">
        <v>49</v>
      </c>
      <c r="G6" t="s">
        <v>50</v>
      </c>
      <c r="H6" t="s">
        <v>26</v>
      </c>
      <c r="I6" t="s">
        <v>60</v>
      </c>
      <c r="J6" s="1">
        <v>45298.770833333336</v>
      </c>
      <c r="K6">
        <v>1</v>
      </c>
      <c r="L6" s="2">
        <v>745</v>
      </c>
      <c r="M6" s="2">
        <v>745</v>
      </c>
      <c r="N6" t="s">
        <v>61</v>
      </c>
      <c r="O6" t="s">
        <v>53</v>
      </c>
      <c r="P6" t="s">
        <v>54</v>
      </c>
      <c r="Q6" t="s">
        <v>31</v>
      </c>
      <c r="R6" t="s">
        <v>32</v>
      </c>
      <c r="S6">
        <v>16</v>
      </c>
      <c r="T6" s="1">
        <v>45646.770833333336</v>
      </c>
      <c r="U6" s="1" t="str">
        <f>TEXT(tblSales[[#This Row],[Purchase Date]],"yyyy-mm")</f>
        <v>2024-01</v>
      </c>
      <c r="V6" s="1" t="str">
        <f>IF(tblSales[[#This Row],[Age]]&lt;25,"18-24",IF(tblSales[[#This Row],[Age]]&lt;35,"25-34",IF(tblSales[[#This Row],[Age]]&lt;45,"35-44",IF(tblSales[[#This Row],[Age]]&lt;55,"45-54","55+"))))</f>
        <v>55+</v>
      </c>
    </row>
    <row r="7" spans="1:22" x14ac:dyDescent="0.3">
      <c r="A7" t="s">
        <v>62</v>
      </c>
      <c r="B7" t="s">
        <v>63</v>
      </c>
      <c r="C7">
        <v>29</v>
      </c>
      <c r="D7" t="s">
        <v>35</v>
      </c>
      <c r="E7" t="s">
        <v>36</v>
      </c>
      <c r="F7" t="s">
        <v>37</v>
      </c>
      <c r="G7" t="s">
        <v>64</v>
      </c>
      <c r="H7" t="s">
        <v>26</v>
      </c>
      <c r="I7" t="s">
        <v>60</v>
      </c>
      <c r="J7" s="1">
        <v>45299.770833333336</v>
      </c>
      <c r="K7">
        <v>1</v>
      </c>
      <c r="L7" s="2">
        <v>1293</v>
      </c>
      <c r="M7" s="2">
        <v>1034.4000000000001</v>
      </c>
      <c r="N7" t="s">
        <v>41</v>
      </c>
      <c r="O7" t="s">
        <v>53</v>
      </c>
      <c r="P7" t="s">
        <v>43</v>
      </c>
      <c r="Q7" t="s">
        <v>44</v>
      </c>
      <c r="R7" t="s">
        <v>45</v>
      </c>
      <c r="S7">
        <v>3</v>
      </c>
      <c r="T7" s="1">
        <v>45581.770833333336</v>
      </c>
      <c r="U7" s="1" t="str">
        <f>TEXT(tblSales[[#This Row],[Purchase Date]],"yyyy-mm")</f>
        <v>2024-01</v>
      </c>
      <c r="V7" s="1" t="str">
        <f>IF(tblSales[[#This Row],[Age]]&lt;25,"18-24",IF(tblSales[[#This Row],[Age]]&lt;35,"25-34",IF(tblSales[[#This Row],[Age]]&lt;45,"35-44",IF(tblSales[[#This Row],[Age]]&lt;55,"45-54","55+"))))</f>
        <v>25-34</v>
      </c>
    </row>
    <row r="8" spans="1:22" x14ac:dyDescent="0.3">
      <c r="A8" t="s">
        <v>65</v>
      </c>
      <c r="B8" t="s">
        <v>66</v>
      </c>
      <c r="C8">
        <v>60</v>
      </c>
      <c r="D8" t="s">
        <v>22</v>
      </c>
      <c r="E8" t="s">
        <v>36</v>
      </c>
      <c r="F8" t="s">
        <v>37</v>
      </c>
      <c r="G8" t="s">
        <v>25</v>
      </c>
      <c r="H8" t="s">
        <v>26</v>
      </c>
      <c r="I8" t="s">
        <v>67</v>
      </c>
      <c r="J8" s="1">
        <v>45306.770833333336</v>
      </c>
      <c r="K8">
        <v>2</v>
      </c>
      <c r="L8" s="2">
        <v>5963</v>
      </c>
      <c r="M8" s="2">
        <v>10137.1</v>
      </c>
      <c r="N8" t="s">
        <v>68</v>
      </c>
      <c r="O8" t="s">
        <v>29</v>
      </c>
      <c r="P8" t="s">
        <v>43</v>
      </c>
      <c r="Q8" t="s">
        <v>31</v>
      </c>
      <c r="R8" t="s">
        <v>45</v>
      </c>
      <c r="S8">
        <v>6</v>
      </c>
      <c r="T8" s="1">
        <v>45619.770833333336</v>
      </c>
      <c r="U8" s="1" t="str">
        <f>TEXT(tblSales[[#This Row],[Purchase Date]],"yyyy-mm")</f>
        <v>2024-01</v>
      </c>
      <c r="V8" s="1" t="str">
        <f>IF(tblSales[[#This Row],[Age]]&lt;25,"18-24",IF(tblSales[[#This Row],[Age]]&lt;35,"25-34",IF(tblSales[[#This Row],[Age]]&lt;45,"35-44",IF(tblSales[[#This Row],[Age]]&lt;55,"45-54","55+"))))</f>
        <v>55+</v>
      </c>
    </row>
    <row r="9" spans="1:22" x14ac:dyDescent="0.3">
      <c r="A9" t="s">
        <v>69</v>
      </c>
      <c r="B9" t="s">
        <v>70</v>
      </c>
      <c r="C9">
        <v>55</v>
      </c>
      <c r="D9" t="s">
        <v>35</v>
      </c>
      <c r="E9" t="s">
        <v>71</v>
      </c>
      <c r="F9" t="s">
        <v>24</v>
      </c>
      <c r="G9" t="s">
        <v>72</v>
      </c>
      <c r="H9" t="s">
        <v>73</v>
      </c>
      <c r="I9" t="s">
        <v>74</v>
      </c>
      <c r="J9" s="1">
        <v>45310.770833333336</v>
      </c>
      <c r="K9">
        <v>2</v>
      </c>
      <c r="L9" s="2">
        <v>580</v>
      </c>
      <c r="M9" s="2">
        <v>1160</v>
      </c>
      <c r="N9" t="s">
        <v>61</v>
      </c>
      <c r="O9" t="s">
        <v>42</v>
      </c>
      <c r="P9" t="s">
        <v>43</v>
      </c>
      <c r="Q9" t="s">
        <v>44</v>
      </c>
      <c r="R9" t="s">
        <v>32</v>
      </c>
      <c r="S9">
        <v>4</v>
      </c>
      <c r="T9" s="1">
        <v>45554.770833333336</v>
      </c>
      <c r="U9" s="1" t="str">
        <f>TEXT(tblSales[[#This Row],[Purchase Date]],"yyyy-mm")</f>
        <v>2024-01</v>
      </c>
      <c r="V9" s="1" t="str">
        <f>IF(tblSales[[#This Row],[Age]]&lt;25,"18-24",IF(tblSales[[#This Row],[Age]]&lt;35,"25-34",IF(tblSales[[#This Row],[Age]]&lt;45,"35-44",IF(tblSales[[#This Row],[Age]]&lt;55,"45-54","55+"))))</f>
        <v>55+</v>
      </c>
    </row>
    <row r="10" spans="1:22" x14ac:dyDescent="0.3">
      <c r="A10" t="s">
        <v>75</v>
      </c>
      <c r="B10" t="s">
        <v>76</v>
      </c>
      <c r="C10">
        <v>60</v>
      </c>
      <c r="D10" t="s">
        <v>22</v>
      </c>
      <c r="E10" t="s">
        <v>77</v>
      </c>
      <c r="F10" t="s">
        <v>49</v>
      </c>
      <c r="G10" t="s">
        <v>78</v>
      </c>
      <c r="H10" t="s">
        <v>51</v>
      </c>
      <c r="I10" t="s">
        <v>79</v>
      </c>
      <c r="J10" s="1">
        <v>45310.770833333336</v>
      </c>
      <c r="K10">
        <v>1</v>
      </c>
      <c r="L10" s="2">
        <v>7575</v>
      </c>
      <c r="M10" s="2">
        <v>7575</v>
      </c>
      <c r="N10" t="s">
        <v>28</v>
      </c>
      <c r="O10" t="s">
        <v>53</v>
      </c>
      <c r="P10" t="s">
        <v>54</v>
      </c>
      <c r="Q10" t="s">
        <v>31</v>
      </c>
      <c r="R10" t="s">
        <v>32</v>
      </c>
      <c r="S10">
        <v>8</v>
      </c>
      <c r="T10" s="1">
        <v>45622.770833333336</v>
      </c>
      <c r="U10" s="1" t="str">
        <f>TEXT(tblSales[[#This Row],[Purchase Date]],"yyyy-mm")</f>
        <v>2024-01</v>
      </c>
      <c r="V10" s="1" t="str">
        <f>IF(tblSales[[#This Row],[Age]]&lt;25,"18-24",IF(tblSales[[#This Row],[Age]]&lt;35,"25-34",IF(tblSales[[#This Row],[Age]]&lt;45,"35-44",IF(tblSales[[#This Row],[Age]]&lt;55,"45-54","55+"))))</f>
        <v>55+</v>
      </c>
    </row>
    <row r="11" spans="1:22" x14ac:dyDescent="0.3">
      <c r="A11" t="s">
        <v>80</v>
      </c>
      <c r="B11" t="s">
        <v>81</v>
      </c>
      <c r="C11">
        <v>48</v>
      </c>
      <c r="D11" t="s">
        <v>22</v>
      </c>
      <c r="E11" t="s">
        <v>57</v>
      </c>
      <c r="F11" t="s">
        <v>37</v>
      </c>
      <c r="G11" t="s">
        <v>25</v>
      </c>
      <c r="H11" t="s">
        <v>82</v>
      </c>
      <c r="I11" t="s">
        <v>83</v>
      </c>
      <c r="J11" s="1">
        <v>45316.770833333336</v>
      </c>
      <c r="K11">
        <v>1</v>
      </c>
      <c r="L11" s="2">
        <v>7483</v>
      </c>
      <c r="M11" s="2">
        <v>7108.85</v>
      </c>
      <c r="N11" t="s">
        <v>41</v>
      </c>
      <c r="O11" t="s">
        <v>42</v>
      </c>
      <c r="P11" t="s">
        <v>43</v>
      </c>
      <c r="Q11" t="s">
        <v>31</v>
      </c>
      <c r="R11" t="s">
        <v>45</v>
      </c>
      <c r="S11">
        <v>5</v>
      </c>
      <c r="T11" s="1">
        <v>45584.770833333336</v>
      </c>
      <c r="U11" s="1" t="str">
        <f>TEXT(tblSales[[#This Row],[Purchase Date]],"yyyy-mm")</f>
        <v>2024-01</v>
      </c>
      <c r="V11" s="1" t="str">
        <f>IF(tblSales[[#This Row],[Age]]&lt;25,"18-24",IF(tblSales[[#This Row],[Age]]&lt;35,"25-34",IF(tblSales[[#This Row],[Age]]&lt;45,"35-44",IF(tblSales[[#This Row],[Age]]&lt;55,"45-54","55+"))))</f>
        <v>45-54</v>
      </c>
    </row>
    <row r="12" spans="1:22" x14ac:dyDescent="0.3">
      <c r="A12" t="s">
        <v>84</v>
      </c>
      <c r="B12" t="s">
        <v>85</v>
      </c>
      <c r="C12">
        <v>55</v>
      </c>
      <c r="D12" t="s">
        <v>35</v>
      </c>
      <c r="E12" t="s">
        <v>86</v>
      </c>
      <c r="F12" t="s">
        <v>37</v>
      </c>
      <c r="G12" t="s">
        <v>50</v>
      </c>
      <c r="H12" t="s">
        <v>39</v>
      </c>
      <c r="I12" t="s">
        <v>87</v>
      </c>
      <c r="J12" s="1">
        <v>45316.770833333336</v>
      </c>
      <c r="K12">
        <v>3</v>
      </c>
      <c r="L12" s="2">
        <v>2228</v>
      </c>
      <c r="M12" s="2">
        <v>6015.6</v>
      </c>
      <c r="N12" t="s">
        <v>68</v>
      </c>
      <c r="O12" t="s">
        <v>42</v>
      </c>
      <c r="P12" t="s">
        <v>43</v>
      </c>
      <c r="Q12" t="s">
        <v>31</v>
      </c>
      <c r="R12" t="s">
        <v>45</v>
      </c>
      <c r="S12">
        <v>5</v>
      </c>
      <c r="T12" s="1">
        <v>45584.770833333336</v>
      </c>
      <c r="U12" s="1" t="str">
        <f>TEXT(tblSales[[#This Row],[Purchase Date]],"yyyy-mm")</f>
        <v>2024-01</v>
      </c>
      <c r="V12" s="1" t="str">
        <f>IF(tblSales[[#This Row],[Age]]&lt;25,"18-24",IF(tblSales[[#This Row],[Age]]&lt;35,"25-34",IF(tblSales[[#This Row],[Age]]&lt;45,"35-44",IF(tblSales[[#This Row],[Age]]&lt;55,"45-54","55+"))))</f>
        <v>55+</v>
      </c>
    </row>
    <row r="13" spans="1:22" x14ac:dyDescent="0.3">
      <c r="A13" t="s">
        <v>20</v>
      </c>
      <c r="B13" t="s">
        <v>21</v>
      </c>
      <c r="C13">
        <v>58</v>
      </c>
      <c r="D13" t="s">
        <v>22</v>
      </c>
      <c r="E13" t="s">
        <v>23</v>
      </c>
      <c r="F13" t="s">
        <v>24</v>
      </c>
      <c r="G13" t="s">
        <v>25</v>
      </c>
      <c r="H13" t="s">
        <v>26</v>
      </c>
      <c r="I13" t="s">
        <v>27</v>
      </c>
      <c r="J13" s="1">
        <v>45317.770833333336</v>
      </c>
      <c r="K13">
        <v>2</v>
      </c>
      <c r="L13" s="2">
        <v>4063</v>
      </c>
      <c r="M13" s="2">
        <v>8126</v>
      </c>
      <c r="N13" t="s">
        <v>68</v>
      </c>
      <c r="O13" t="s">
        <v>53</v>
      </c>
      <c r="P13" t="s">
        <v>30</v>
      </c>
      <c r="Q13" t="s">
        <v>31</v>
      </c>
      <c r="R13" t="s">
        <v>32</v>
      </c>
      <c r="S13">
        <v>12</v>
      </c>
      <c r="T13" s="1">
        <v>45653.770833333336</v>
      </c>
      <c r="U13" s="1" t="str">
        <f>TEXT(tblSales[[#This Row],[Purchase Date]],"yyyy-mm")</f>
        <v>2024-01</v>
      </c>
      <c r="V13" s="1" t="str">
        <f>IF(tblSales[[#This Row],[Age]]&lt;25,"18-24",IF(tblSales[[#This Row],[Age]]&lt;35,"25-34",IF(tblSales[[#This Row],[Age]]&lt;45,"35-44",IF(tblSales[[#This Row],[Age]]&lt;55,"45-54","55+"))))</f>
        <v>55+</v>
      </c>
    </row>
    <row r="14" spans="1:22" x14ac:dyDescent="0.3">
      <c r="A14" t="s">
        <v>88</v>
      </c>
      <c r="B14" t="s">
        <v>89</v>
      </c>
      <c r="C14">
        <v>48</v>
      </c>
      <c r="D14" t="s">
        <v>35</v>
      </c>
      <c r="E14" t="s">
        <v>48</v>
      </c>
      <c r="F14" t="s">
        <v>49</v>
      </c>
      <c r="G14" t="s">
        <v>64</v>
      </c>
      <c r="H14" t="s">
        <v>73</v>
      </c>
      <c r="I14" t="s">
        <v>90</v>
      </c>
      <c r="J14" s="1">
        <v>45322.770833333336</v>
      </c>
      <c r="K14">
        <v>2</v>
      </c>
      <c r="L14" s="2">
        <v>2341</v>
      </c>
      <c r="M14" s="2">
        <v>4682</v>
      </c>
      <c r="N14" t="s">
        <v>28</v>
      </c>
      <c r="O14" t="s">
        <v>53</v>
      </c>
      <c r="P14" t="s">
        <v>30</v>
      </c>
      <c r="Q14" t="s">
        <v>44</v>
      </c>
      <c r="R14" t="s">
        <v>32</v>
      </c>
      <c r="S14">
        <v>4</v>
      </c>
      <c r="T14" s="1">
        <v>45643.770833333336</v>
      </c>
      <c r="U14" s="1" t="str">
        <f>TEXT(tblSales[[#This Row],[Purchase Date]],"yyyy-mm")</f>
        <v>2024-01</v>
      </c>
      <c r="V14" s="1" t="str">
        <f>IF(tblSales[[#This Row],[Age]]&lt;25,"18-24",IF(tblSales[[#This Row],[Age]]&lt;35,"25-34",IF(tblSales[[#This Row],[Age]]&lt;45,"35-44",IF(tblSales[[#This Row],[Age]]&lt;55,"45-54","55+"))))</f>
        <v>45-54</v>
      </c>
    </row>
    <row r="15" spans="1:22" x14ac:dyDescent="0.3">
      <c r="A15" t="s">
        <v>91</v>
      </c>
      <c r="B15" t="s">
        <v>92</v>
      </c>
      <c r="C15">
        <v>49</v>
      </c>
      <c r="D15" t="s">
        <v>35</v>
      </c>
      <c r="E15" t="s">
        <v>77</v>
      </c>
      <c r="F15" t="s">
        <v>49</v>
      </c>
      <c r="G15" t="s">
        <v>25</v>
      </c>
      <c r="H15" t="s">
        <v>93</v>
      </c>
      <c r="I15" t="s">
        <v>94</v>
      </c>
      <c r="J15" s="1">
        <v>45327.770833333336</v>
      </c>
      <c r="K15">
        <v>1</v>
      </c>
      <c r="L15" s="2">
        <v>2443</v>
      </c>
      <c r="M15" s="2">
        <v>2443</v>
      </c>
      <c r="N15" t="s">
        <v>68</v>
      </c>
      <c r="O15" t="s">
        <v>29</v>
      </c>
      <c r="P15" t="s">
        <v>43</v>
      </c>
      <c r="Q15" t="s">
        <v>44</v>
      </c>
      <c r="R15" t="s">
        <v>32</v>
      </c>
      <c r="S15">
        <v>3</v>
      </c>
      <c r="T15" s="1">
        <v>45515.770833333336</v>
      </c>
      <c r="U15" s="1" t="str">
        <f>TEXT(tblSales[[#This Row],[Purchase Date]],"yyyy-mm")</f>
        <v>2024-02</v>
      </c>
      <c r="V15" s="1" t="str">
        <f>IF(tblSales[[#This Row],[Age]]&lt;25,"18-24",IF(tblSales[[#This Row],[Age]]&lt;35,"25-34",IF(tblSales[[#This Row],[Age]]&lt;45,"35-44",IF(tblSales[[#This Row],[Age]]&lt;55,"45-54","55+"))))</f>
        <v>45-54</v>
      </c>
    </row>
    <row r="16" spans="1:22" x14ac:dyDescent="0.3">
      <c r="A16" t="s">
        <v>95</v>
      </c>
      <c r="B16" t="s">
        <v>96</v>
      </c>
      <c r="C16">
        <v>23</v>
      </c>
      <c r="D16" t="s">
        <v>35</v>
      </c>
      <c r="E16" t="s">
        <v>97</v>
      </c>
      <c r="F16" t="s">
        <v>98</v>
      </c>
      <c r="G16" t="s">
        <v>50</v>
      </c>
      <c r="H16" t="s">
        <v>39</v>
      </c>
      <c r="I16" t="s">
        <v>87</v>
      </c>
      <c r="J16" s="1">
        <v>45332.770833333336</v>
      </c>
      <c r="K16">
        <v>2</v>
      </c>
      <c r="L16" s="2">
        <v>2513</v>
      </c>
      <c r="M16" s="2">
        <v>5026</v>
      </c>
      <c r="N16" t="s">
        <v>99</v>
      </c>
      <c r="O16" t="s">
        <v>53</v>
      </c>
      <c r="P16" t="s">
        <v>43</v>
      </c>
      <c r="Q16" t="s">
        <v>31</v>
      </c>
      <c r="R16" t="s">
        <v>32</v>
      </c>
      <c r="S16">
        <v>8</v>
      </c>
      <c r="T16" s="1">
        <v>45569.770833333336</v>
      </c>
      <c r="U16" s="1" t="str">
        <f>TEXT(tblSales[[#This Row],[Purchase Date]],"yyyy-mm")</f>
        <v>2024-02</v>
      </c>
      <c r="V16" s="1" t="str">
        <f>IF(tblSales[[#This Row],[Age]]&lt;25,"18-24",IF(tblSales[[#This Row],[Age]]&lt;35,"25-34",IF(tblSales[[#This Row],[Age]]&lt;45,"35-44",IF(tblSales[[#This Row],[Age]]&lt;55,"45-54","55+"))))</f>
        <v>18-24</v>
      </c>
    </row>
    <row r="17" spans="1:22" x14ac:dyDescent="0.3">
      <c r="A17" t="s">
        <v>100</v>
      </c>
      <c r="B17" t="s">
        <v>101</v>
      </c>
      <c r="C17">
        <v>26</v>
      </c>
      <c r="D17" t="s">
        <v>35</v>
      </c>
      <c r="E17" t="s">
        <v>102</v>
      </c>
      <c r="F17" t="s">
        <v>98</v>
      </c>
      <c r="G17" t="s">
        <v>50</v>
      </c>
      <c r="H17" t="s">
        <v>26</v>
      </c>
      <c r="I17" t="s">
        <v>60</v>
      </c>
      <c r="J17" s="1">
        <v>45333.770833333336</v>
      </c>
      <c r="K17">
        <v>1</v>
      </c>
      <c r="L17" s="2">
        <v>4160</v>
      </c>
      <c r="M17" s="2">
        <v>4160</v>
      </c>
      <c r="N17" t="s">
        <v>41</v>
      </c>
      <c r="O17" t="s">
        <v>42</v>
      </c>
      <c r="P17" t="s">
        <v>30</v>
      </c>
      <c r="Q17" t="s">
        <v>31</v>
      </c>
      <c r="R17" t="s">
        <v>32</v>
      </c>
      <c r="S17">
        <v>9</v>
      </c>
      <c r="T17" s="1">
        <v>45648.770833333336</v>
      </c>
      <c r="U17" s="1" t="str">
        <f>TEXT(tblSales[[#This Row],[Purchase Date]],"yyyy-mm")</f>
        <v>2024-02</v>
      </c>
      <c r="V17" s="1" t="str">
        <f>IF(tblSales[[#This Row],[Age]]&lt;25,"18-24",IF(tblSales[[#This Row],[Age]]&lt;35,"25-34",IF(tblSales[[#This Row],[Age]]&lt;45,"35-44",IF(tblSales[[#This Row],[Age]]&lt;55,"45-54","55+"))))</f>
        <v>25-34</v>
      </c>
    </row>
    <row r="18" spans="1:22" x14ac:dyDescent="0.3">
      <c r="A18" t="s">
        <v>103</v>
      </c>
      <c r="B18" t="s">
        <v>104</v>
      </c>
      <c r="C18">
        <v>23</v>
      </c>
      <c r="D18" t="s">
        <v>35</v>
      </c>
      <c r="E18" t="s">
        <v>105</v>
      </c>
      <c r="F18" t="s">
        <v>98</v>
      </c>
      <c r="G18" t="s">
        <v>25</v>
      </c>
      <c r="H18" t="s">
        <v>93</v>
      </c>
      <c r="I18" t="s">
        <v>94</v>
      </c>
      <c r="J18" s="1">
        <v>45333.770833333336</v>
      </c>
      <c r="K18">
        <v>2</v>
      </c>
      <c r="L18" s="2">
        <v>2887</v>
      </c>
      <c r="M18" s="2">
        <v>5774</v>
      </c>
      <c r="N18" t="s">
        <v>28</v>
      </c>
      <c r="O18" t="s">
        <v>29</v>
      </c>
      <c r="P18" t="s">
        <v>43</v>
      </c>
      <c r="Q18" t="s">
        <v>106</v>
      </c>
      <c r="R18" t="s">
        <v>32</v>
      </c>
      <c r="S18">
        <v>2</v>
      </c>
      <c r="T18" s="1">
        <v>45416.770833333336</v>
      </c>
      <c r="U18" s="1" t="str">
        <f>TEXT(tblSales[[#This Row],[Purchase Date]],"yyyy-mm")</f>
        <v>2024-02</v>
      </c>
      <c r="V18" s="1" t="str">
        <f>IF(tblSales[[#This Row],[Age]]&lt;25,"18-24",IF(tblSales[[#This Row],[Age]]&lt;35,"25-34",IF(tblSales[[#This Row],[Age]]&lt;45,"35-44",IF(tblSales[[#This Row],[Age]]&lt;55,"45-54","55+"))))</f>
        <v>18-24</v>
      </c>
    </row>
    <row r="19" spans="1:22" x14ac:dyDescent="0.3">
      <c r="A19" t="s">
        <v>107</v>
      </c>
      <c r="B19" t="s">
        <v>108</v>
      </c>
      <c r="C19">
        <v>60</v>
      </c>
      <c r="D19" t="s">
        <v>22</v>
      </c>
      <c r="E19" t="s">
        <v>105</v>
      </c>
      <c r="F19" t="s">
        <v>98</v>
      </c>
      <c r="G19" t="s">
        <v>50</v>
      </c>
      <c r="H19" t="s">
        <v>82</v>
      </c>
      <c r="I19" t="s">
        <v>109</v>
      </c>
      <c r="J19" s="1">
        <v>45333.770833333336</v>
      </c>
      <c r="K19">
        <v>3</v>
      </c>
      <c r="L19" s="2">
        <v>7052</v>
      </c>
      <c r="M19" s="2">
        <v>21156</v>
      </c>
      <c r="N19" t="s">
        <v>28</v>
      </c>
      <c r="O19" t="s">
        <v>29</v>
      </c>
      <c r="P19" t="s">
        <v>30</v>
      </c>
      <c r="Q19" t="s">
        <v>31</v>
      </c>
      <c r="R19" t="s">
        <v>32</v>
      </c>
      <c r="S19">
        <v>11</v>
      </c>
      <c r="T19" s="1">
        <v>45627.770833333336</v>
      </c>
      <c r="U19" s="1" t="str">
        <f>TEXT(tblSales[[#This Row],[Purchase Date]],"yyyy-mm")</f>
        <v>2024-02</v>
      </c>
      <c r="V19" s="1" t="str">
        <f>IF(tblSales[[#This Row],[Age]]&lt;25,"18-24",IF(tblSales[[#This Row],[Age]]&lt;35,"25-34",IF(tblSales[[#This Row],[Age]]&lt;45,"35-44",IF(tblSales[[#This Row],[Age]]&lt;55,"45-54","55+"))))</f>
        <v>55+</v>
      </c>
    </row>
    <row r="20" spans="1:22" x14ac:dyDescent="0.3">
      <c r="A20" t="s">
        <v>65</v>
      </c>
      <c r="B20" t="s">
        <v>66</v>
      </c>
      <c r="C20">
        <v>60</v>
      </c>
      <c r="D20" t="s">
        <v>22</v>
      </c>
      <c r="E20" t="s">
        <v>36</v>
      </c>
      <c r="F20" t="s">
        <v>37</v>
      </c>
      <c r="G20" t="s">
        <v>25</v>
      </c>
      <c r="H20" t="s">
        <v>26</v>
      </c>
      <c r="I20" t="s">
        <v>110</v>
      </c>
      <c r="J20" s="1">
        <v>45333.770833333336</v>
      </c>
      <c r="K20">
        <v>2</v>
      </c>
      <c r="L20" s="2">
        <v>3128</v>
      </c>
      <c r="M20" s="2">
        <v>5943.2</v>
      </c>
      <c r="N20" t="s">
        <v>41</v>
      </c>
      <c r="O20" t="s">
        <v>53</v>
      </c>
      <c r="P20" t="s">
        <v>43</v>
      </c>
      <c r="Q20" t="s">
        <v>31</v>
      </c>
      <c r="R20" t="s">
        <v>45</v>
      </c>
      <c r="S20">
        <v>6</v>
      </c>
      <c r="T20" s="1">
        <v>45619.770833333336</v>
      </c>
      <c r="U20" s="1" t="str">
        <f>TEXT(tblSales[[#This Row],[Purchase Date]],"yyyy-mm")</f>
        <v>2024-02</v>
      </c>
      <c r="V20" s="1" t="str">
        <f>IF(tblSales[[#This Row],[Age]]&lt;25,"18-24",IF(tblSales[[#This Row],[Age]]&lt;35,"25-34",IF(tblSales[[#This Row],[Age]]&lt;45,"35-44",IF(tblSales[[#This Row],[Age]]&lt;55,"45-54","55+"))))</f>
        <v>55+</v>
      </c>
    </row>
    <row r="21" spans="1:22" x14ac:dyDescent="0.3">
      <c r="A21" t="s">
        <v>111</v>
      </c>
      <c r="B21" t="s">
        <v>112</v>
      </c>
      <c r="C21">
        <v>27</v>
      </c>
      <c r="D21" t="s">
        <v>22</v>
      </c>
      <c r="E21" t="s">
        <v>113</v>
      </c>
      <c r="F21" t="s">
        <v>24</v>
      </c>
      <c r="G21" t="s">
        <v>78</v>
      </c>
      <c r="H21" t="s">
        <v>82</v>
      </c>
      <c r="I21" t="s">
        <v>114</v>
      </c>
      <c r="J21" s="1">
        <v>45338.770833333336</v>
      </c>
      <c r="K21">
        <v>1</v>
      </c>
      <c r="L21" s="2">
        <v>345</v>
      </c>
      <c r="M21" s="2">
        <v>345</v>
      </c>
      <c r="N21" t="s">
        <v>28</v>
      </c>
      <c r="O21" t="s">
        <v>53</v>
      </c>
      <c r="P21" t="s">
        <v>43</v>
      </c>
      <c r="Q21" t="s">
        <v>31</v>
      </c>
      <c r="R21" t="s">
        <v>32</v>
      </c>
      <c r="S21">
        <v>8</v>
      </c>
      <c r="T21" s="1">
        <v>45649.770833333336</v>
      </c>
      <c r="U21" s="1" t="str">
        <f>TEXT(tblSales[[#This Row],[Purchase Date]],"yyyy-mm")</f>
        <v>2024-02</v>
      </c>
      <c r="V21" s="1" t="str">
        <f>IF(tblSales[[#This Row],[Age]]&lt;25,"18-24",IF(tblSales[[#This Row],[Age]]&lt;35,"25-34",IF(tblSales[[#This Row],[Age]]&lt;45,"35-44",IF(tblSales[[#This Row],[Age]]&lt;55,"45-54","55+"))))</f>
        <v>25-34</v>
      </c>
    </row>
    <row r="22" spans="1:22" x14ac:dyDescent="0.3">
      <c r="A22" t="s">
        <v>75</v>
      </c>
      <c r="B22" t="s">
        <v>76</v>
      </c>
      <c r="C22">
        <v>60</v>
      </c>
      <c r="D22" t="s">
        <v>22</v>
      </c>
      <c r="E22" t="s">
        <v>77</v>
      </c>
      <c r="F22" t="s">
        <v>49</v>
      </c>
      <c r="G22" t="s">
        <v>78</v>
      </c>
      <c r="H22" t="s">
        <v>51</v>
      </c>
      <c r="I22" t="s">
        <v>59</v>
      </c>
      <c r="J22" s="1">
        <v>45340.770833333336</v>
      </c>
      <c r="K22">
        <v>3</v>
      </c>
      <c r="L22" s="2">
        <v>61540</v>
      </c>
      <c r="M22" s="2">
        <v>184620</v>
      </c>
      <c r="N22" t="s">
        <v>41</v>
      </c>
      <c r="O22" t="s">
        <v>42</v>
      </c>
      <c r="P22" t="s">
        <v>54</v>
      </c>
      <c r="Q22" t="s">
        <v>31</v>
      </c>
      <c r="R22" t="s">
        <v>32</v>
      </c>
      <c r="S22">
        <v>8</v>
      </c>
      <c r="T22" s="1">
        <v>45622.770833333336</v>
      </c>
      <c r="U22" s="1" t="str">
        <f>TEXT(tblSales[[#This Row],[Purchase Date]],"yyyy-mm")</f>
        <v>2024-02</v>
      </c>
      <c r="V22" s="1" t="str">
        <f>IF(tblSales[[#This Row],[Age]]&lt;25,"18-24",IF(tblSales[[#This Row],[Age]]&lt;35,"25-34",IF(tblSales[[#This Row],[Age]]&lt;45,"35-44",IF(tblSales[[#This Row],[Age]]&lt;55,"45-54","55+"))))</f>
        <v>55+</v>
      </c>
    </row>
    <row r="23" spans="1:22" x14ac:dyDescent="0.3">
      <c r="A23" t="s">
        <v>115</v>
      </c>
      <c r="B23" t="s">
        <v>116</v>
      </c>
      <c r="C23">
        <v>25</v>
      </c>
      <c r="D23" t="s">
        <v>35</v>
      </c>
      <c r="E23" t="s">
        <v>117</v>
      </c>
      <c r="F23" t="s">
        <v>49</v>
      </c>
      <c r="G23" t="s">
        <v>72</v>
      </c>
      <c r="H23" t="s">
        <v>39</v>
      </c>
      <c r="I23" t="s">
        <v>118</v>
      </c>
      <c r="J23" s="1">
        <v>45349.770833333336</v>
      </c>
      <c r="K23">
        <v>3</v>
      </c>
      <c r="L23" s="2">
        <v>3500</v>
      </c>
      <c r="M23" s="2">
        <v>10500</v>
      </c>
      <c r="N23" t="s">
        <v>68</v>
      </c>
      <c r="O23" t="s">
        <v>29</v>
      </c>
      <c r="P23" t="s">
        <v>43</v>
      </c>
      <c r="Q23" t="s">
        <v>106</v>
      </c>
      <c r="R23" t="s">
        <v>32</v>
      </c>
      <c r="S23">
        <v>1</v>
      </c>
      <c r="T23" s="1">
        <v>45349.770833333336</v>
      </c>
      <c r="U23" s="1" t="str">
        <f>TEXT(tblSales[[#This Row],[Purchase Date]],"yyyy-mm")</f>
        <v>2024-02</v>
      </c>
      <c r="V23" s="1" t="str">
        <f>IF(tblSales[[#This Row],[Age]]&lt;25,"18-24",IF(tblSales[[#This Row],[Age]]&lt;35,"25-34",IF(tblSales[[#This Row],[Age]]&lt;45,"35-44",IF(tblSales[[#This Row],[Age]]&lt;55,"45-54","55+"))))</f>
        <v>25-34</v>
      </c>
    </row>
    <row r="24" spans="1:22" x14ac:dyDescent="0.3">
      <c r="A24" t="s">
        <v>119</v>
      </c>
      <c r="B24" t="s">
        <v>120</v>
      </c>
      <c r="C24">
        <v>20</v>
      </c>
      <c r="D24" t="s">
        <v>22</v>
      </c>
      <c r="E24" t="s">
        <v>36</v>
      </c>
      <c r="F24" t="s">
        <v>37</v>
      </c>
      <c r="G24" t="s">
        <v>121</v>
      </c>
      <c r="H24" t="s">
        <v>73</v>
      </c>
      <c r="I24" t="s">
        <v>122</v>
      </c>
      <c r="J24" s="1">
        <v>45352.770833333336</v>
      </c>
      <c r="K24">
        <v>1</v>
      </c>
      <c r="L24" s="2">
        <v>465</v>
      </c>
      <c r="M24" s="2">
        <v>395.25</v>
      </c>
      <c r="N24" t="s">
        <v>68</v>
      </c>
      <c r="O24" t="s">
        <v>53</v>
      </c>
      <c r="P24" t="s">
        <v>54</v>
      </c>
      <c r="Q24" t="s">
        <v>31</v>
      </c>
      <c r="R24" t="s">
        <v>45</v>
      </c>
      <c r="S24">
        <v>9</v>
      </c>
      <c r="T24" s="1">
        <v>45619.770833333336</v>
      </c>
      <c r="U24" s="1" t="str">
        <f>TEXT(tblSales[[#This Row],[Purchase Date]],"yyyy-mm")</f>
        <v>2024-03</v>
      </c>
      <c r="V24" s="1" t="str">
        <f>IF(tblSales[[#This Row],[Age]]&lt;25,"18-24",IF(tblSales[[#This Row],[Age]]&lt;35,"25-34",IF(tblSales[[#This Row],[Age]]&lt;45,"35-44",IF(tblSales[[#This Row],[Age]]&lt;55,"45-54","55+"))))</f>
        <v>18-24</v>
      </c>
    </row>
    <row r="25" spans="1:22" x14ac:dyDescent="0.3">
      <c r="A25" t="s">
        <v>20</v>
      </c>
      <c r="B25" t="s">
        <v>21</v>
      </c>
      <c r="C25">
        <v>58</v>
      </c>
      <c r="D25" t="s">
        <v>22</v>
      </c>
      <c r="E25" t="s">
        <v>23</v>
      </c>
      <c r="F25" t="s">
        <v>24</v>
      </c>
      <c r="G25" t="s">
        <v>25</v>
      </c>
      <c r="H25" t="s">
        <v>82</v>
      </c>
      <c r="I25" t="s">
        <v>109</v>
      </c>
      <c r="J25" s="1">
        <v>45353.770833333336</v>
      </c>
      <c r="K25">
        <v>1</v>
      </c>
      <c r="L25" s="2">
        <v>2435</v>
      </c>
      <c r="M25" s="2">
        <v>2435</v>
      </c>
      <c r="N25" t="s">
        <v>61</v>
      </c>
      <c r="O25" t="s">
        <v>42</v>
      </c>
      <c r="P25" t="s">
        <v>30</v>
      </c>
      <c r="Q25" t="s">
        <v>31</v>
      </c>
      <c r="R25" t="s">
        <v>32</v>
      </c>
      <c r="S25">
        <v>12</v>
      </c>
      <c r="T25" s="1">
        <v>45653.770833333336</v>
      </c>
      <c r="U25" s="1" t="str">
        <f>TEXT(tblSales[[#This Row],[Purchase Date]],"yyyy-mm")</f>
        <v>2024-03</v>
      </c>
      <c r="V25" s="1" t="str">
        <f>IF(tblSales[[#This Row],[Age]]&lt;25,"18-24",IF(tblSales[[#This Row],[Age]]&lt;35,"25-34",IF(tblSales[[#This Row],[Age]]&lt;45,"35-44",IF(tblSales[[#This Row],[Age]]&lt;55,"45-54","55+"))))</f>
        <v>55+</v>
      </c>
    </row>
    <row r="26" spans="1:22" x14ac:dyDescent="0.3">
      <c r="A26" t="s">
        <v>33</v>
      </c>
      <c r="B26" t="s">
        <v>34</v>
      </c>
      <c r="C26">
        <v>62</v>
      </c>
      <c r="D26" t="s">
        <v>35</v>
      </c>
      <c r="E26" t="s">
        <v>36</v>
      </c>
      <c r="F26" t="s">
        <v>37</v>
      </c>
      <c r="G26" t="s">
        <v>38</v>
      </c>
      <c r="H26" t="s">
        <v>39</v>
      </c>
      <c r="I26" t="s">
        <v>87</v>
      </c>
      <c r="J26" s="1">
        <v>45353.770833333336</v>
      </c>
      <c r="K26">
        <v>1</v>
      </c>
      <c r="L26" s="2">
        <v>4729</v>
      </c>
      <c r="M26" s="2">
        <v>4729</v>
      </c>
      <c r="N26" t="s">
        <v>28</v>
      </c>
      <c r="O26" t="s">
        <v>29</v>
      </c>
      <c r="P26" t="s">
        <v>43</v>
      </c>
      <c r="Q26" t="s">
        <v>44</v>
      </c>
      <c r="R26" t="s">
        <v>32</v>
      </c>
      <c r="S26">
        <v>4</v>
      </c>
      <c r="T26" s="1">
        <v>45607.770833333336</v>
      </c>
      <c r="U26" s="1" t="str">
        <f>TEXT(tblSales[[#This Row],[Purchase Date]],"yyyy-mm")</f>
        <v>2024-03</v>
      </c>
      <c r="V26" s="1" t="str">
        <f>IF(tblSales[[#This Row],[Age]]&lt;25,"18-24",IF(tblSales[[#This Row],[Age]]&lt;35,"25-34",IF(tblSales[[#This Row],[Age]]&lt;45,"35-44",IF(tblSales[[#This Row],[Age]]&lt;55,"45-54","55+"))))</f>
        <v>55+</v>
      </c>
    </row>
    <row r="27" spans="1:22" x14ac:dyDescent="0.3">
      <c r="A27" t="s">
        <v>84</v>
      </c>
      <c r="B27" t="s">
        <v>85</v>
      </c>
      <c r="C27">
        <v>55</v>
      </c>
      <c r="D27" t="s">
        <v>35</v>
      </c>
      <c r="E27" t="s">
        <v>86</v>
      </c>
      <c r="F27" t="s">
        <v>37</v>
      </c>
      <c r="G27" t="s">
        <v>50</v>
      </c>
      <c r="H27" t="s">
        <v>73</v>
      </c>
      <c r="I27" t="s">
        <v>90</v>
      </c>
      <c r="J27" s="1">
        <v>45354.770833333336</v>
      </c>
      <c r="K27">
        <v>3</v>
      </c>
      <c r="L27" s="2">
        <v>1902</v>
      </c>
      <c r="M27" s="2">
        <v>5706</v>
      </c>
      <c r="N27" t="s">
        <v>28</v>
      </c>
      <c r="O27" t="s">
        <v>29</v>
      </c>
      <c r="P27" t="s">
        <v>43</v>
      </c>
      <c r="Q27" t="s">
        <v>31</v>
      </c>
      <c r="R27" t="s">
        <v>32</v>
      </c>
      <c r="S27">
        <v>5</v>
      </c>
      <c r="T27" s="1">
        <v>45584.770833333336</v>
      </c>
      <c r="U27" s="1" t="str">
        <f>TEXT(tblSales[[#This Row],[Purchase Date]],"yyyy-mm")</f>
        <v>2024-03</v>
      </c>
      <c r="V27" s="1" t="str">
        <f>IF(tblSales[[#This Row],[Age]]&lt;25,"18-24",IF(tblSales[[#This Row],[Age]]&lt;35,"25-34",IF(tblSales[[#This Row],[Age]]&lt;45,"35-44",IF(tblSales[[#This Row],[Age]]&lt;55,"45-54","55+"))))</f>
        <v>55+</v>
      </c>
    </row>
    <row r="28" spans="1:22" x14ac:dyDescent="0.3">
      <c r="A28" t="s">
        <v>65</v>
      </c>
      <c r="B28" t="s">
        <v>66</v>
      </c>
      <c r="C28">
        <v>60</v>
      </c>
      <c r="D28" t="s">
        <v>22</v>
      </c>
      <c r="E28" t="s">
        <v>36</v>
      </c>
      <c r="F28" t="s">
        <v>37</v>
      </c>
      <c r="G28" t="s">
        <v>25</v>
      </c>
      <c r="H28" t="s">
        <v>51</v>
      </c>
      <c r="I28" t="s">
        <v>123</v>
      </c>
      <c r="J28" s="1">
        <v>45356.770833333336</v>
      </c>
      <c r="K28">
        <v>1</v>
      </c>
      <c r="L28" s="2">
        <v>3176</v>
      </c>
      <c r="M28" s="2">
        <v>3176</v>
      </c>
      <c r="N28" t="s">
        <v>99</v>
      </c>
      <c r="O28" t="s">
        <v>29</v>
      </c>
      <c r="P28" t="s">
        <v>43</v>
      </c>
      <c r="Q28" t="s">
        <v>31</v>
      </c>
      <c r="R28" t="s">
        <v>32</v>
      </c>
      <c r="S28">
        <v>6</v>
      </c>
      <c r="T28" s="1">
        <v>45619.770833333336</v>
      </c>
      <c r="U28" s="1" t="str">
        <f>TEXT(tblSales[[#This Row],[Purchase Date]],"yyyy-mm")</f>
        <v>2024-03</v>
      </c>
      <c r="V28" s="1" t="str">
        <f>IF(tblSales[[#This Row],[Age]]&lt;25,"18-24",IF(tblSales[[#This Row],[Age]]&lt;35,"25-34",IF(tblSales[[#This Row],[Age]]&lt;45,"35-44",IF(tblSales[[#This Row],[Age]]&lt;55,"45-54","55+"))))</f>
        <v>55+</v>
      </c>
    </row>
    <row r="29" spans="1:22" x14ac:dyDescent="0.3">
      <c r="A29" t="s">
        <v>124</v>
      </c>
      <c r="B29" t="s">
        <v>125</v>
      </c>
      <c r="C29">
        <v>40</v>
      </c>
      <c r="D29" t="s">
        <v>35</v>
      </c>
      <c r="E29" t="s">
        <v>126</v>
      </c>
      <c r="F29" t="s">
        <v>37</v>
      </c>
      <c r="G29" t="s">
        <v>72</v>
      </c>
      <c r="H29" t="s">
        <v>73</v>
      </c>
      <c r="I29" t="s">
        <v>74</v>
      </c>
      <c r="J29" s="1">
        <v>45360.770833333336</v>
      </c>
      <c r="K29">
        <v>3</v>
      </c>
      <c r="L29" s="2">
        <v>998</v>
      </c>
      <c r="M29" s="2">
        <v>2844.3</v>
      </c>
      <c r="N29" t="s">
        <v>61</v>
      </c>
      <c r="O29" t="s">
        <v>53</v>
      </c>
      <c r="P29" t="s">
        <v>54</v>
      </c>
      <c r="Q29" t="s">
        <v>44</v>
      </c>
      <c r="R29" t="s">
        <v>45</v>
      </c>
      <c r="S29">
        <v>4</v>
      </c>
      <c r="T29" s="1">
        <v>45634.770833333336</v>
      </c>
      <c r="U29" s="1" t="str">
        <f>TEXT(tblSales[[#This Row],[Purchase Date]],"yyyy-mm")</f>
        <v>2024-03</v>
      </c>
      <c r="V29" s="1" t="str">
        <f>IF(tblSales[[#This Row],[Age]]&lt;25,"18-24",IF(tblSales[[#This Row],[Age]]&lt;35,"25-34",IF(tblSales[[#This Row],[Age]]&lt;45,"35-44",IF(tblSales[[#This Row],[Age]]&lt;55,"45-54","55+"))))</f>
        <v>35-44</v>
      </c>
    </row>
    <row r="30" spans="1:22" x14ac:dyDescent="0.3">
      <c r="A30" t="s">
        <v>127</v>
      </c>
      <c r="B30" t="s">
        <v>128</v>
      </c>
      <c r="C30">
        <v>26</v>
      </c>
      <c r="D30" t="s">
        <v>35</v>
      </c>
      <c r="E30" t="s">
        <v>71</v>
      </c>
      <c r="F30" t="s">
        <v>24</v>
      </c>
      <c r="G30" t="s">
        <v>121</v>
      </c>
      <c r="H30" t="s">
        <v>39</v>
      </c>
      <c r="I30" t="s">
        <v>129</v>
      </c>
      <c r="J30" s="1">
        <v>45361.770833333336</v>
      </c>
      <c r="K30">
        <v>3</v>
      </c>
      <c r="L30" s="2">
        <v>2950</v>
      </c>
      <c r="M30" s="2">
        <v>8407.5</v>
      </c>
      <c r="N30" t="s">
        <v>28</v>
      </c>
      <c r="O30" t="s">
        <v>42</v>
      </c>
      <c r="P30" t="s">
        <v>43</v>
      </c>
      <c r="Q30" t="s">
        <v>44</v>
      </c>
      <c r="R30" t="s">
        <v>45</v>
      </c>
      <c r="S30">
        <v>4</v>
      </c>
      <c r="T30" s="1">
        <v>45568.770833333336</v>
      </c>
      <c r="U30" s="1" t="str">
        <f>TEXT(tblSales[[#This Row],[Purchase Date]],"yyyy-mm")</f>
        <v>2024-03</v>
      </c>
      <c r="V30" s="1" t="str">
        <f>IF(tblSales[[#This Row],[Age]]&lt;25,"18-24",IF(tblSales[[#This Row],[Age]]&lt;35,"25-34",IF(tblSales[[#This Row],[Age]]&lt;45,"35-44",IF(tblSales[[#This Row],[Age]]&lt;55,"45-54","55+"))))</f>
        <v>25-34</v>
      </c>
    </row>
    <row r="31" spans="1:22" x14ac:dyDescent="0.3">
      <c r="A31" t="s">
        <v>95</v>
      </c>
      <c r="B31" t="s">
        <v>96</v>
      </c>
      <c r="C31">
        <v>23</v>
      </c>
      <c r="D31" t="s">
        <v>35</v>
      </c>
      <c r="E31" t="s">
        <v>97</v>
      </c>
      <c r="F31" t="s">
        <v>98</v>
      </c>
      <c r="G31" t="s">
        <v>50</v>
      </c>
      <c r="H31" t="s">
        <v>26</v>
      </c>
      <c r="I31" t="s">
        <v>60</v>
      </c>
      <c r="J31" s="1">
        <v>45361.770833333336</v>
      </c>
      <c r="K31">
        <v>2</v>
      </c>
      <c r="L31" s="2">
        <v>2114</v>
      </c>
      <c r="M31" s="2">
        <v>3593.8</v>
      </c>
      <c r="N31" t="s">
        <v>99</v>
      </c>
      <c r="O31" t="s">
        <v>53</v>
      </c>
      <c r="P31" t="s">
        <v>43</v>
      </c>
      <c r="Q31" t="s">
        <v>31</v>
      </c>
      <c r="R31" t="s">
        <v>45</v>
      </c>
      <c r="S31">
        <v>8</v>
      </c>
      <c r="T31" s="1">
        <v>45569.770833333336</v>
      </c>
      <c r="U31" s="1" t="str">
        <f>TEXT(tblSales[[#This Row],[Purchase Date]],"yyyy-mm")</f>
        <v>2024-03</v>
      </c>
      <c r="V31" s="1" t="str">
        <f>IF(tblSales[[#This Row],[Age]]&lt;25,"18-24",IF(tblSales[[#This Row],[Age]]&lt;35,"25-34",IF(tblSales[[#This Row],[Age]]&lt;45,"35-44",IF(tblSales[[#This Row],[Age]]&lt;55,"45-54","55+"))))</f>
        <v>18-24</v>
      </c>
    </row>
    <row r="32" spans="1:22" x14ac:dyDescent="0.3">
      <c r="A32" t="s">
        <v>130</v>
      </c>
      <c r="B32" t="s">
        <v>131</v>
      </c>
      <c r="C32">
        <v>32</v>
      </c>
      <c r="D32" t="s">
        <v>22</v>
      </c>
      <c r="E32" t="s">
        <v>57</v>
      </c>
      <c r="F32" t="s">
        <v>37</v>
      </c>
      <c r="G32" t="s">
        <v>50</v>
      </c>
      <c r="H32" t="s">
        <v>39</v>
      </c>
      <c r="I32" t="s">
        <v>87</v>
      </c>
      <c r="J32" s="1">
        <v>45363.770833333336</v>
      </c>
      <c r="K32">
        <v>1</v>
      </c>
      <c r="L32" s="2">
        <v>4205</v>
      </c>
      <c r="M32" s="2">
        <v>4205</v>
      </c>
      <c r="N32" t="s">
        <v>61</v>
      </c>
      <c r="O32" t="s">
        <v>53</v>
      </c>
      <c r="P32" t="s">
        <v>30</v>
      </c>
      <c r="Q32" t="s">
        <v>106</v>
      </c>
      <c r="R32" t="s">
        <v>32</v>
      </c>
      <c r="S32">
        <v>2</v>
      </c>
      <c r="T32" s="1">
        <v>45408.770833333336</v>
      </c>
      <c r="U32" s="1" t="str">
        <f>TEXT(tblSales[[#This Row],[Purchase Date]],"yyyy-mm")</f>
        <v>2024-03</v>
      </c>
      <c r="V32" s="1" t="str">
        <f>IF(tblSales[[#This Row],[Age]]&lt;25,"18-24",IF(tblSales[[#This Row],[Age]]&lt;35,"25-34",IF(tblSales[[#This Row],[Age]]&lt;45,"35-44",IF(tblSales[[#This Row],[Age]]&lt;55,"45-54","55+"))))</f>
        <v>25-34</v>
      </c>
    </row>
    <row r="33" spans="1:22" x14ac:dyDescent="0.3">
      <c r="A33" t="s">
        <v>127</v>
      </c>
      <c r="B33" t="s">
        <v>128</v>
      </c>
      <c r="C33">
        <v>26</v>
      </c>
      <c r="D33" t="s">
        <v>35</v>
      </c>
      <c r="E33" t="s">
        <v>71</v>
      </c>
      <c r="F33" t="s">
        <v>24</v>
      </c>
      <c r="G33" t="s">
        <v>121</v>
      </c>
      <c r="H33" t="s">
        <v>26</v>
      </c>
      <c r="I33" t="s">
        <v>27</v>
      </c>
      <c r="J33" s="1">
        <v>45366.770833333336</v>
      </c>
      <c r="K33">
        <v>3</v>
      </c>
      <c r="L33" s="2">
        <v>5359</v>
      </c>
      <c r="M33" s="2">
        <v>15273.15</v>
      </c>
      <c r="N33" t="s">
        <v>41</v>
      </c>
      <c r="O33" t="s">
        <v>42</v>
      </c>
      <c r="P33" t="s">
        <v>43</v>
      </c>
      <c r="Q33" t="s">
        <v>44</v>
      </c>
      <c r="R33" t="s">
        <v>45</v>
      </c>
      <c r="S33">
        <v>4</v>
      </c>
      <c r="T33" s="1">
        <v>45568.770833333336</v>
      </c>
      <c r="U33" s="1" t="str">
        <f>TEXT(tblSales[[#This Row],[Purchase Date]],"yyyy-mm")</f>
        <v>2024-03</v>
      </c>
      <c r="V33" s="1" t="str">
        <f>IF(tblSales[[#This Row],[Age]]&lt;25,"18-24",IF(tblSales[[#This Row],[Age]]&lt;35,"25-34",IF(tblSales[[#This Row],[Age]]&lt;45,"35-44",IF(tblSales[[#This Row],[Age]]&lt;55,"45-54","55+"))))</f>
        <v>25-34</v>
      </c>
    </row>
    <row r="34" spans="1:22" x14ac:dyDescent="0.3">
      <c r="A34" t="s">
        <v>132</v>
      </c>
      <c r="B34" t="s">
        <v>133</v>
      </c>
      <c r="C34">
        <v>23</v>
      </c>
      <c r="D34" t="s">
        <v>35</v>
      </c>
      <c r="E34" t="s">
        <v>36</v>
      </c>
      <c r="F34" t="s">
        <v>37</v>
      </c>
      <c r="G34" t="s">
        <v>58</v>
      </c>
      <c r="H34" t="s">
        <v>73</v>
      </c>
      <c r="I34" t="s">
        <v>122</v>
      </c>
      <c r="J34" s="1">
        <v>45367.770833333336</v>
      </c>
      <c r="K34">
        <v>1</v>
      </c>
      <c r="L34" s="2">
        <v>1985</v>
      </c>
      <c r="M34" s="2">
        <v>1985</v>
      </c>
      <c r="N34" t="s">
        <v>28</v>
      </c>
      <c r="O34" t="s">
        <v>53</v>
      </c>
      <c r="P34" t="s">
        <v>43</v>
      </c>
      <c r="Q34" t="s">
        <v>106</v>
      </c>
      <c r="R34" t="s">
        <v>32</v>
      </c>
      <c r="S34">
        <v>2</v>
      </c>
      <c r="T34" s="1">
        <v>45433.770833333336</v>
      </c>
      <c r="U34" s="1" t="str">
        <f>TEXT(tblSales[[#This Row],[Purchase Date]],"yyyy-mm")</f>
        <v>2024-03</v>
      </c>
      <c r="V34" s="1" t="str">
        <f>IF(tblSales[[#This Row],[Age]]&lt;25,"18-24",IF(tblSales[[#This Row],[Age]]&lt;35,"25-34",IF(tblSales[[#This Row],[Age]]&lt;45,"35-44",IF(tblSales[[#This Row],[Age]]&lt;55,"45-54","55+"))))</f>
        <v>18-24</v>
      </c>
    </row>
    <row r="35" spans="1:22" x14ac:dyDescent="0.3">
      <c r="A35" t="s">
        <v>134</v>
      </c>
      <c r="B35" t="s">
        <v>135</v>
      </c>
      <c r="C35">
        <v>57</v>
      </c>
      <c r="D35" t="s">
        <v>22</v>
      </c>
      <c r="E35" t="s">
        <v>23</v>
      </c>
      <c r="F35" t="s">
        <v>24</v>
      </c>
      <c r="G35" t="s">
        <v>136</v>
      </c>
      <c r="H35" t="s">
        <v>73</v>
      </c>
      <c r="I35" t="s">
        <v>122</v>
      </c>
      <c r="J35" s="1">
        <v>45367.770833333336</v>
      </c>
      <c r="K35">
        <v>1</v>
      </c>
      <c r="L35" s="2">
        <v>1551</v>
      </c>
      <c r="M35" s="2">
        <v>1551</v>
      </c>
      <c r="N35" t="s">
        <v>99</v>
      </c>
      <c r="O35" t="s">
        <v>53</v>
      </c>
      <c r="P35" t="s">
        <v>43</v>
      </c>
      <c r="Q35" t="s">
        <v>44</v>
      </c>
      <c r="R35" t="s">
        <v>32</v>
      </c>
      <c r="S35">
        <v>3</v>
      </c>
      <c r="T35" s="1">
        <v>45607.770833333336</v>
      </c>
      <c r="U35" s="1" t="str">
        <f>TEXT(tblSales[[#This Row],[Purchase Date]],"yyyy-mm")</f>
        <v>2024-03</v>
      </c>
      <c r="V35" s="1" t="str">
        <f>IF(tblSales[[#This Row],[Age]]&lt;25,"18-24",IF(tblSales[[#This Row],[Age]]&lt;35,"25-34",IF(tblSales[[#This Row],[Age]]&lt;45,"35-44",IF(tblSales[[#This Row],[Age]]&lt;55,"45-54","55+"))))</f>
        <v>55+</v>
      </c>
    </row>
    <row r="36" spans="1:22" x14ac:dyDescent="0.3">
      <c r="A36" t="s">
        <v>134</v>
      </c>
      <c r="B36" t="s">
        <v>135</v>
      </c>
      <c r="C36">
        <v>57</v>
      </c>
      <c r="D36" t="s">
        <v>22</v>
      </c>
      <c r="E36" t="s">
        <v>23</v>
      </c>
      <c r="F36" t="s">
        <v>24</v>
      </c>
      <c r="G36" t="s">
        <v>136</v>
      </c>
      <c r="H36" t="s">
        <v>39</v>
      </c>
      <c r="I36" t="s">
        <v>118</v>
      </c>
      <c r="J36" s="1">
        <v>45371.770833333336</v>
      </c>
      <c r="K36">
        <v>2</v>
      </c>
      <c r="L36" s="2">
        <v>949</v>
      </c>
      <c r="M36" s="2">
        <v>1898</v>
      </c>
      <c r="N36" t="s">
        <v>61</v>
      </c>
      <c r="O36" t="s">
        <v>42</v>
      </c>
      <c r="P36" t="s">
        <v>43</v>
      </c>
      <c r="Q36" t="s">
        <v>44</v>
      </c>
      <c r="R36" t="s">
        <v>32</v>
      </c>
      <c r="S36">
        <v>3</v>
      </c>
      <c r="T36" s="1">
        <v>45607.770833333336</v>
      </c>
      <c r="U36" s="1" t="str">
        <f>TEXT(tblSales[[#This Row],[Purchase Date]],"yyyy-mm")</f>
        <v>2024-03</v>
      </c>
      <c r="V36" s="1" t="str">
        <f>IF(tblSales[[#This Row],[Age]]&lt;25,"18-24",IF(tblSales[[#This Row],[Age]]&lt;35,"25-34",IF(tblSales[[#This Row],[Age]]&lt;45,"35-44",IF(tblSales[[#This Row],[Age]]&lt;55,"45-54","55+"))))</f>
        <v>55+</v>
      </c>
    </row>
    <row r="37" spans="1:22" x14ac:dyDescent="0.3">
      <c r="A37" t="s">
        <v>100</v>
      </c>
      <c r="B37" t="s">
        <v>101</v>
      </c>
      <c r="C37">
        <v>26</v>
      </c>
      <c r="D37" t="s">
        <v>35</v>
      </c>
      <c r="E37" t="s">
        <v>102</v>
      </c>
      <c r="F37" t="s">
        <v>98</v>
      </c>
      <c r="G37" t="s">
        <v>50</v>
      </c>
      <c r="H37" t="s">
        <v>73</v>
      </c>
      <c r="I37" t="s">
        <v>137</v>
      </c>
      <c r="J37" s="1">
        <v>45372.770833333336</v>
      </c>
      <c r="K37">
        <v>1</v>
      </c>
      <c r="L37" s="2">
        <v>1947</v>
      </c>
      <c r="M37" s="2">
        <v>1849.65</v>
      </c>
      <c r="N37" t="s">
        <v>68</v>
      </c>
      <c r="O37" t="s">
        <v>53</v>
      </c>
      <c r="P37" t="s">
        <v>30</v>
      </c>
      <c r="Q37" t="s">
        <v>31</v>
      </c>
      <c r="R37" t="s">
        <v>45</v>
      </c>
      <c r="S37">
        <v>9</v>
      </c>
      <c r="T37" s="1">
        <v>45648.770833333336</v>
      </c>
      <c r="U37" s="1" t="str">
        <f>TEXT(tblSales[[#This Row],[Purchase Date]],"yyyy-mm")</f>
        <v>2024-03</v>
      </c>
      <c r="V37" s="1" t="str">
        <f>IF(tblSales[[#This Row],[Age]]&lt;25,"18-24",IF(tblSales[[#This Row],[Age]]&lt;35,"25-34",IF(tblSales[[#This Row],[Age]]&lt;45,"35-44",IF(tblSales[[#This Row],[Age]]&lt;55,"45-54","55+"))))</f>
        <v>25-34</v>
      </c>
    </row>
    <row r="38" spans="1:22" x14ac:dyDescent="0.3">
      <c r="A38" t="s">
        <v>138</v>
      </c>
      <c r="B38" t="s">
        <v>139</v>
      </c>
      <c r="C38">
        <v>60</v>
      </c>
      <c r="D38" t="s">
        <v>35</v>
      </c>
      <c r="E38" t="s">
        <v>105</v>
      </c>
      <c r="F38" t="s">
        <v>98</v>
      </c>
      <c r="G38" t="s">
        <v>72</v>
      </c>
      <c r="H38" t="s">
        <v>82</v>
      </c>
      <c r="I38" t="s">
        <v>140</v>
      </c>
      <c r="J38" s="1">
        <v>45376.770833333336</v>
      </c>
      <c r="K38">
        <v>1</v>
      </c>
      <c r="L38" s="2">
        <v>7450</v>
      </c>
      <c r="M38" s="2">
        <v>7450</v>
      </c>
      <c r="N38" t="s">
        <v>99</v>
      </c>
      <c r="O38" t="s">
        <v>53</v>
      </c>
      <c r="P38" t="s">
        <v>43</v>
      </c>
      <c r="Q38" t="s">
        <v>31</v>
      </c>
      <c r="R38" t="s">
        <v>32</v>
      </c>
      <c r="S38">
        <v>5</v>
      </c>
      <c r="T38" s="1">
        <v>45628.770833333336</v>
      </c>
      <c r="U38" s="1" t="str">
        <f>TEXT(tblSales[[#This Row],[Purchase Date]],"yyyy-mm")</f>
        <v>2024-03</v>
      </c>
      <c r="V38" s="1" t="str">
        <f>IF(tblSales[[#This Row],[Age]]&lt;25,"18-24",IF(tblSales[[#This Row],[Age]]&lt;35,"25-34",IF(tblSales[[#This Row],[Age]]&lt;45,"35-44",IF(tblSales[[#This Row],[Age]]&lt;55,"45-54","55+"))))</f>
        <v>55+</v>
      </c>
    </row>
    <row r="39" spans="1:22" x14ac:dyDescent="0.3">
      <c r="A39" t="s">
        <v>111</v>
      </c>
      <c r="B39" t="s">
        <v>112</v>
      </c>
      <c r="C39">
        <v>27</v>
      </c>
      <c r="D39" t="s">
        <v>22</v>
      </c>
      <c r="E39" t="s">
        <v>113</v>
      </c>
      <c r="F39" t="s">
        <v>24</v>
      </c>
      <c r="G39" t="s">
        <v>78</v>
      </c>
      <c r="H39" t="s">
        <v>73</v>
      </c>
      <c r="I39" t="s">
        <v>122</v>
      </c>
      <c r="J39" s="1">
        <v>45377.770833333336</v>
      </c>
      <c r="K39">
        <v>2</v>
      </c>
      <c r="L39" s="2">
        <v>1252</v>
      </c>
      <c r="M39" s="2">
        <v>2504</v>
      </c>
      <c r="N39" t="s">
        <v>28</v>
      </c>
      <c r="O39" t="s">
        <v>53</v>
      </c>
      <c r="P39" t="s">
        <v>43</v>
      </c>
      <c r="Q39" t="s">
        <v>31</v>
      </c>
      <c r="R39" t="s">
        <v>32</v>
      </c>
      <c r="S39">
        <v>8</v>
      </c>
      <c r="T39" s="1">
        <v>45649.770833333336</v>
      </c>
      <c r="U39" s="1" t="str">
        <f>TEXT(tblSales[[#This Row],[Purchase Date]],"yyyy-mm")</f>
        <v>2024-03</v>
      </c>
      <c r="V39" s="1" t="str">
        <f>IF(tblSales[[#This Row],[Age]]&lt;25,"18-24",IF(tblSales[[#This Row],[Age]]&lt;35,"25-34",IF(tblSales[[#This Row],[Age]]&lt;45,"35-44",IF(tblSales[[#This Row],[Age]]&lt;55,"45-54","55+"))))</f>
        <v>25-34</v>
      </c>
    </row>
    <row r="40" spans="1:22" x14ac:dyDescent="0.3">
      <c r="A40" t="s">
        <v>100</v>
      </c>
      <c r="B40" t="s">
        <v>101</v>
      </c>
      <c r="C40">
        <v>26</v>
      </c>
      <c r="D40" t="s">
        <v>35</v>
      </c>
      <c r="E40" t="s">
        <v>102</v>
      </c>
      <c r="F40" t="s">
        <v>98</v>
      </c>
      <c r="G40" t="s">
        <v>50</v>
      </c>
      <c r="H40" t="s">
        <v>26</v>
      </c>
      <c r="I40" t="s">
        <v>27</v>
      </c>
      <c r="J40" s="1">
        <v>45384.770833333336</v>
      </c>
      <c r="K40">
        <v>1</v>
      </c>
      <c r="L40" s="2">
        <v>1254</v>
      </c>
      <c r="M40" s="2">
        <v>1191.3</v>
      </c>
      <c r="N40" t="s">
        <v>68</v>
      </c>
      <c r="O40" t="s">
        <v>42</v>
      </c>
      <c r="P40" t="s">
        <v>30</v>
      </c>
      <c r="Q40" t="s">
        <v>31</v>
      </c>
      <c r="R40" t="s">
        <v>45</v>
      </c>
      <c r="S40">
        <v>9</v>
      </c>
      <c r="T40" s="1">
        <v>45648.770833333336</v>
      </c>
      <c r="U40" s="1" t="str">
        <f>TEXT(tblSales[[#This Row],[Purchase Date]],"yyyy-mm")</f>
        <v>2024-04</v>
      </c>
      <c r="V40" s="1" t="str">
        <f>IF(tblSales[[#This Row],[Age]]&lt;25,"18-24",IF(tblSales[[#This Row],[Age]]&lt;35,"25-34",IF(tblSales[[#This Row],[Age]]&lt;45,"35-44",IF(tblSales[[#This Row],[Age]]&lt;55,"45-54","55+"))))</f>
        <v>25-34</v>
      </c>
    </row>
    <row r="41" spans="1:22" x14ac:dyDescent="0.3">
      <c r="A41" t="s">
        <v>141</v>
      </c>
      <c r="B41" t="s">
        <v>116</v>
      </c>
      <c r="C41">
        <v>40</v>
      </c>
      <c r="D41" t="s">
        <v>35</v>
      </c>
      <c r="E41" t="s">
        <v>102</v>
      </c>
      <c r="F41" t="s">
        <v>98</v>
      </c>
      <c r="G41" t="s">
        <v>121</v>
      </c>
      <c r="H41" t="s">
        <v>73</v>
      </c>
      <c r="I41" t="s">
        <v>122</v>
      </c>
      <c r="J41" s="1">
        <v>45384.770833333336</v>
      </c>
      <c r="K41">
        <v>1</v>
      </c>
      <c r="L41" s="2">
        <v>1136</v>
      </c>
      <c r="M41" s="2">
        <v>1136</v>
      </c>
      <c r="N41" t="s">
        <v>28</v>
      </c>
      <c r="O41" t="s">
        <v>53</v>
      </c>
      <c r="P41" t="s">
        <v>54</v>
      </c>
      <c r="Q41" t="s">
        <v>44</v>
      </c>
      <c r="R41" t="s">
        <v>32</v>
      </c>
      <c r="S41">
        <v>3</v>
      </c>
      <c r="T41" s="1">
        <v>45637.770833333336</v>
      </c>
      <c r="U41" s="1" t="str">
        <f>TEXT(tblSales[[#This Row],[Purchase Date]],"yyyy-mm")</f>
        <v>2024-04</v>
      </c>
      <c r="V41" s="1" t="str">
        <f>IF(tblSales[[#This Row],[Age]]&lt;25,"18-24",IF(tblSales[[#This Row],[Age]]&lt;35,"25-34",IF(tblSales[[#This Row],[Age]]&lt;45,"35-44",IF(tblSales[[#This Row],[Age]]&lt;55,"45-54","55+"))))</f>
        <v>35-44</v>
      </c>
    </row>
    <row r="42" spans="1:22" x14ac:dyDescent="0.3">
      <c r="A42" t="s">
        <v>142</v>
      </c>
      <c r="B42" t="s">
        <v>143</v>
      </c>
      <c r="C42">
        <v>23</v>
      </c>
      <c r="D42" t="s">
        <v>35</v>
      </c>
      <c r="E42" t="s">
        <v>77</v>
      </c>
      <c r="F42" t="s">
        <v>49</v>
      </c>
      <c r="G42" t="s">
        <v>58</v>
      </c>
      <c r="H42" t="s">
        <v>39</v>
      </c>
      <c r="I42" t="s">
        <v>144</v>
      </c>
      <c r="J42" s="1">
        <v>45386.770833333336</v>
      </c>
      <c r="K42">
        <v>3</v>
      </c>
      <c r="L42" s="2">
        <v>3979</v>
      </c>
      <c r="M42" s="2">
        <v>9549.6</v>
      </c>
      <c r="N42" t="s">
        <v>61</v>
      </c>
      <c r="O42" t="s">
        <v>42</v>
      </c>
      <c r="P42" t="s">
        <v>43</v>
      </c>
      <c r="Q42" t="s">
        <v>44</v>
      </c>
      <c r="R42" t="s">
        <v>45</v>
      </c>
      <c r="S42">
        <v>3</v>
      </c>
      <c r="T42" s="1">
        <v>45622.770833333336</v>
      </c>
      <c r="U42" s="1" t="str">
        <f>TEXT(tblSales[[#This Row],[Purchase Date]],"yyyy-mm")</f>
        <v>2024-04</v>
      </c>
      <c r="V42" s="1" t="str">
        <f>IF(tblSales[[#This Row],[Age]]&lt;25,"18-24",IF(tblSales[[#This Row],[Age]]&lt;35,"25-34",IF(tblSales[[#This Row],[Age]]&lt;45,"35-44",IF(tblSales[[#This Row],[Age]]&lt;55,"45-54","55+"))))</f>
        <v>18-24</v>
      </c>
    </row>
    <row r="43" spans="1:22" x14ac:dyDescent="0.3">
      <c r="A43" t="s">
        <v>145</v>
      </c>
      <c r="B43" t="s">
        <v>146</v>
      </c>
      <c r="C43">
        <v>25</v>
      </c>
      <c r="D43" t="s">
        <v>22</v>
      </c>
      <c r="E43" t="s">
        <v>23</v>
      </c>
      <c r="F43" t="s">
        <v>24</v>
      </c>
      <c r="G43" t="s">
        <v>72</v>
      </c>
      <c r="H43" t="s">
        <v>39</v>
      </c>
      <c r="I43" t="s">
        <v>129</v>
      </c>
      <c r="J43" s="1">
        <v>45386.770833333336</v>
      </c>
      <c r="K43">
        <v>1</v>
      </c>
      <c r="L43" s="2">
        <v>1087</v>
      </c>
      <c r="M43" s="2">
        <v>1032.6500000000001</v>
      </c>
      <c r="N43" t="s">
        <v>28</v>
      </c>
      <c r="O43" t="s">
        <v>42</v>
      </c>
      <c r="P43" t="s">
        <v>43</v>
      </c>
      <c r="Q43" t="s">
        <v>44</v>
      </c>
      <c r="R43" t="s">
        <v>45</v>
      </c>
      <c r="S43">
        <v>3</v>
      </c>
      <c r="T43" s="1">
        <v>45609.770833333336</v>
      </c>
      <c r="U43" s="1" t="str">
        <f>TEXT(tblSales[[#This Row],[Purchase Date]],"yyyy-mm")</f>
        <v>2024-04</v>
      </c>
      <c r="V43" s="1" t="str">
        <f>IF(tblSales[[#This Row],[Age]]&lt;25,"18-24",IF(tblSales[[#This Row],[Age]]&lt;35,"25-34",IF(tblSales[[#This Row],[Age]]&lt;45,"35-44",IF(tblSales[[#This Row],[Age]]&lt;55,"45-54","55+"))))</f>
        <v>25-34</v>
      </c>
    </row>
    <row r="44" spans="1:22" x14ac:dyDescent="0.3">
      <c r="A44" t="s">
        <v>84</v>
      </c>
      <c r="B44" t="s">
        <v>85</v>
      </c>
      <c r="C44">
        <v>55</v>
      </c>
      <c r="D44" t="s">
        <v>35</v>
      </c>
      <c r="E44" t="s">
        <v>86</v>
      </c>
      <c r="F44" t="s">
        <v>37</v>
      </c>
      <c r="G44" t="s">
        <v>50</v>
      </c>
      <c r="H44" t="s">
        <v>26</v>
      </c>
      <c r="I44" t="s">
        <v>27</v>
      </c>
      <c r="J44" s="1">
        <v>45392.770833333336</v>
      </c>
      <c r="K44">
        <v>2</v>
      </c>
      <c r="L44" s="2">
        <v>4398</v>
      </c>
      <c r="M44" s="2">
        <v>8796</v>
      </c>
      <c r="N44" t="s">
        <v>61</v>
      </c>
      <c r="O44" t="s">
        <v>29</v>
      </c>
      <c r="P44" t="s">
        <v>43</v>
      </c>
      <c r="Q44" t="s">
        <v>31</v>
      </c>
      <c r="R44" t="s">
        <v>32</v>
      </c>
      <c r="S44">
        <v>5</v>
      </c>
      <c r="T44" s="1">
        <v>45584.770833333336</v>
      </c>
      <c r="U44" s="1" t="str">
        <f>TEXT(tblSales[[#This Row],[Purchase Date]],"yyyy-mm")</f>
        <v>2024-04</v>
      </c>
      <c r="V44" s="1" t="str">
        <f>IF(tblSales[[#This Row],[Age]]&lt;25,"18-24",IF(tblSales[[#This Row],[Age]]&lt;35,"25-34",IF(tblSales[[#This Row],[Age]]&lt;45,"35-44",IF(tblSales[[#This Row],[Age]]&lt;55,"45-54","55+"))))</f>
        <v>55+</v>
      </c>
    </row>
    <row r="45" spans="1:22" x14ac:dyDescent="0.3">
      <c r="A45" t="s">
        <v>95</v>
      </c>
      <c r="B45" t="s">
        <v>96</v>
      </c>
      <c r="C45">
        <v>23</v>
      </c>
      <c r="D45" t="s">
        <v>35</v>
      </c>
      <c r="E45" t="s">
        <v>97</v>
      </c>
      <c r="F45" t="s">
        <v>98</v>
      </c>
      <c r="G45" t="s">
        <v>50</v>
      </c>
      <c r="H45" t="s">
        <v>82</v>
      </c>
      <c r="I45" t="s">
        <v>140</v>
      </c>
      <c r="J45" s="1">
        <v>45392.770833333336</v>
      </c>
      <c r="K45">
        <v>1</v>
      </c>
      <c r="L45" s="2">
        <v>5315</v>
      </c>
      <c r="M45" s="2">
        <v>5315</v>
      </c>
      <c r="N45" t="s">
        <v>99</v>
      </c>
      <c r="O45" t="s">
        <v>29</v>
      </c>
      <c r="P45" t="s">
        <v>43</v>
      </c>
      <c r="Q45" t="s">
        <v>31</v>
      </c>
      <c r="R45" t="s">
        <v>32</v>
      </c>
      <c r="S45">
        <v>8</v>
      </c>
      <c r="T45" s="1">
        <v>45569.770833333336</v>
      </c>
      <c r="U45" s="1" t="str">
        <f>TEXT(tblSales[[#This Row],[Purchase Date]],"yyyy-mm")</f>
        <v>2024-04</v>
      </c>
      <c r="V45" s="1" t="str">
        <f>IF(tblSales[[#This Row],[Age]]&lt;25,"18-24",IF(tblSales[[#This Row],[Age]]&lt;35,"25-34",IF(tblSales[[#This Row],[Age]]&lt;45,"35-44",IF(tblSales[[#This Row],[Age]]&lt;55,"45-54","55+"))))</f>
        <v>18-24</v>
      </c>
    </row>
    <row r="46" spans="1:22" x14ac:dyDescent="0.3">
      <c r="A46" t="s">
        <v>95</v>
      </c>
      <c r="B46" t="s">
        <v>96</v>
      </c>
      <c r="C46">
        <v>23</v>
      </c>
      <c r="D46" t="s">
        <v>35</v>
      </c>
      <c r="E46" t="s">
        <v>97</v>
      </c>
      <c r="F46" t="s">
        <v>98</v>
      </c>
      <c r="G46" t="s">
        <v>50</v>
      </c>
      <c r="H46" t="s">
        <v>82</v>
      </c>
      <c r="I46" t="s">
        <v>83</v>
      </c>
      <c r="J46" s="1">
        <v>45395.770833333336</v>
      </c>
      <c r="K46">
        <v>1</v>
      </c>
      <c r="L46" s="2">
        <v>5928</v>
      </c>
      <c r="M46" s="2">
        <v>5928</v>
      </c>
      <c r="N46" t="s">
        <v>41</v>
      </c>
      <c r="O46" t="s">
        <v>29</v>
      </c>
      <c r="P46" t="s">
        <v>43</v>
      </c>
      <c r="Q46" t="s">
        <v>31</v>
      </c>
      <c r="R46" t="s">
        <v>32</v>
      </c>
      <c r="S46">
        <v>8</v>
      </c>
      <c r="T46" s="1">
        <v>45569.770833333336</v>
      </c>
      <c r="U46" s="1" t="str">
        <f>TEXT(tblSales[[#This Row],[Purchase Date]],"yyyy-mm")</f>
        <v>2024-04</v>
      </c>
      <c r="V46" s="1" t="str">
        <f>IF(tblSales[[#This Row],[Age]]&lt;25,"18-24",IF(tblSales[[#This Row],[Age]]&lt;35,"25-34",IF(tblSales[[#This Row],[Age]]&lt;45,"35-44",IF(tblSales[[#This Row],[Age]]&lt;55,"45-54","55+"))))</f>
        <v>18-24</v>
      </c>
    </row>
    <row r="47" spans="1:22" x14ac:dyDescent="0.3">
      <c r="A47" t="s">
        <v>147</v>
      </c>
      <c r="B47" t="s">
        <v>148</v>
      </c>
      <c r="C47">
        <v>63</v>
      </c>
      <c r="D47" t="s">
        <v>22</v>
      </c>
      <c r="E47" t="s">
        <v>71</v>
      </c>
      <c r="F47" t="s">
        <v>24</v>
      </c>
      <c r="G47" t="s">
        <v>136</v>
      </c>
      <c r="H47" t="s">
        <v>39</v>
      </c>
      <c r="I47" t="s">
        <v>129</v>
      </c>
      <c r="J47" s="1">
        <v>45403.770833333336</v>
      </c>
      <c r="K47">
        <v>3</v>
      </c>
      <c r="L47" s="2">
        <v>467</v>
      </c>
      <c r="M47" s="2">
        <v>1401</v>
      </c>
      <c r="N47" t="s">
        <v>28</v>
      </c>
      <c r="O47" t="s">
        <v>42</v>
      </c>
      <c r="P47" t="s">
        <v>30</v>
      </c>
      <c r="Q47" t="s">
        <v>106</v>
      </c>
      <c r="R47" t="s">
        <v>32</v>
      </c>
      <c r="S47">
        <v>2</v>
      </c>
      <c r="T47" s="1">
        <v>45620.770833333336</v>
      </c>
      <c r="U47" s="1" t="str">
        <f>TEXT(tblSales[[#This Row],[Purchase Date]],"yyyy-mm")</f>
        <v>2024-04</v>
      </c>
      <c r="V47" s="1" t="str">
        <f>IF(tblSales[[#This Row],[Age]]&lt;25,"18-24",IF(tblSales[[#This Row],[Age]]&lt;35,"25-34",IF(tblSales[[#This Row],[Age]]&lt;45,"35-44",IF(tblSales[[#This Row],[Age]]&lt;55,"45-54","55+"))))</f>
        <v>55+</v>
      </c>
    </row>
    <row r="48" spans="1:22" x14ac:dyDescent="0.3">
      <c r="A48" t="s">
        <v>130</v>
      </c>
      <c r="B48" t="s">
        <v>131</v>
      </c>
      <c r="C48">
        <v>32</v>
      </c>
      <c r="D48" t="s">
        <v>22</v>
      </c>
      <c r="E48" t="s">
        <v>57</v>
      </c>
      <c r="F48" t="s">
        <v>37</v>
      </c>
      <c r="G48" t="s">
        <v>50</v>
      </c>
      <c r="H48" t="s">
        <v>51</v>
      </c>
      <c r="I48" t="s">
        <v>52</v>
      </c>
      <c r="J48" s="1">
        <v>45408.770833333336</v>
      </c>
      <c r="K48">
        <v>2</v>
      </c>
      <c r="L48" s="2">
        <v>38857</v>
      </c>
      <c r="M48" s="2">
        <v>69942.600000000006</v>
      </c>
      <c r="N48" t="s">
        <v>28</v>
      </c>
      <c r="O48" t="s">
        <v>53</v>
      </c>
      <c r="P48" t="s">
        <v>30</v>
      </c>
      <c r="Q48" t="s">
        <v>106</v>
      </c>
      <c r="R48" t="s">
        <v>45</v>
      </c>
      <c r="S48">
        <v>2</v>
      </c>
      <c r="T48" s="1">
        <v>45408.770833333336</v>
      </c>
      <c r="U48" s="1" t="str">
        <f>TEXT(tblSales[[#This Row],[Purchase Date]],"yyyy-mm")</f>
        <v>2024-04</v>
      </c>
      <c r="V48" s="1" t="str">
        <f>IF(tblSales[[#This Row],[Age]]&lt;25,"18-24",IF(tblSales[[#This Row],[Age]]&lt;35,"25-34",IF(tblSales[[#This Row],[Age]]&lt;45,"35-44",IF(tblSales[[#This Row],[Age]]&lt;55,"45-54","55+"))))</f>
        <v>25-34</v>
      </c>
    </row>
    <row r="49" spans="1:22" x14ac:dyDescent="0.3">
      <c r="A49" t="s">
        <v>80</v>
      </c>
      <c r="B49" t="s">
        <v>81</v>
      </c>
      <c r="C49">
        <v>48</v>
      </c>
      <c r="D49" t="s">
        <v>22</v>
      </c>
      <c r="E49" t="s">
        <v>57</v>
      </c>
      <c r="F49" t="s">
        <v>37</v>
      </c>
      <c r="G49" t="s">
        <v>25</v>
      </c>
      <c r="H49" t="s">
        <v>93</v>
      </c>
      <c r="I49" t="s">
        <v>149</v>
      </c>
      <c r="J49" s="1">
        <v>45409.770833333336</v>
      </c>
      <c r="K49">
        <v>2</v>
      </c>
      <c r="L49" s="2">
        <v>585</v>
      </c>
      <c r="M49" s="2">
        <v>1170</v>
      </c>
      <c r="N49" t="s">
        <v>28</v>
      </c>
      <c r="O49" t="s">
        <v>53</v>
      </c>
      <c r="P49" t="s">
        <v>43</v>
      </c>
      <c r="Q49" t="s">
        <v>31</v>
      </c>
      <c r="R49" t="s">
        <v>32</v>
      </c>
      <c r="S49">
        <v>5</v>
      </c>
      <c r="T49" s="1">
        <v>45584.770833333336</v>
      </c>
      <c r="U49" s="1" t="str">
        <f>TEXT(tblSales[[#This Row],[Purchase Date]],"yyyy-mm")</f>
        <v>2024-04</v>
      </c>
      <c r="V49" s="1" t="str">
        <f>IF(tblSales[[#This Row],[Age]]&lt;25,"18-24",IF(tblSales[[#This Row],[Age]]&lt;35,"25-34",IF(tblSales[[#This Row],[Age]]&lt;45,"35-44",IF(tblSales[[#This Row],[Age]]&lt;55,"45-54","55+"))))</f>
        <v>45-54</v>
      </c>
    </row>
    <row r="50" spans="1:22" x14ac:dyDescent="0.3">
      <c r="A50" t="s">
        <v>80</v>
      </c>
      <c r="B50" t="s">
        <v>81</v>
      </c>
      <c r="C50">
        <v>48</v>
      </c>
      <c r="D50" t="s">
        <v>22</v>
      </c>
      <c r="E50" t="s">
        <v>57</v>
      </c>
      <c r="F50" t="s">
        <v>37</v>
      </c>
      <c r="G50" t="s">
        <v>25</v>
      </c>
      <c r="H50" t="s">
        <v>51</v>
      </c>
      <c r="I50" t="s">
        <v>150</v>
      </c>
      <c r="J50" s="1">
        <v>45415.770833333336</v>
      </c>
      <c r="K50">
        <v>1</v>
      </c>
      <c r="L50" s="2">
        <v>7431</v>
      </c>
      <c r="M50" s="2">
        <v>7431</v>
      </c>
      <c r="N50" t="s">
        <v>41</v>
      </c>
      <c r="O50" t="s">
        <v>53</v>
      </c>
      <c r="P50" t="s">
        <v>43</v>
      </c>
      <c r="Q50" t="s">
        <v>31</v>
      </c>
      <c r="R50" t="s">
        <v>32</v>
      </c>
      <c r="S50">
        <v>5</v>
      </c>
      <c r="T50" s="1">
        <v>45584.770833333336</v>
      </c>
      <c r="U50" s="1" t="str">
        <f>TEXT(tblSales[[#This Row],[Purchase Date]],"yyyy-mm")</f>
        <v>2024-05</v>
      </c>
      <c r="V50" s="1" t="str">
        <f>IF(tblSales[[#This Row],[Age]]&lt;25,"18-24",IF(tblSales[[#This Row],[Age]]&lt;35,"25-34",IF(tblSales[[#This Row],[Age]]&lt;45,"35-44",IF(tblSales[[#This Row],[Age]]&lt;55,"45-54","55+"))))</f>
        <v>45-54</v>
      </c>
    </row>
    <row r="51" spans="1:22" x14ac:dyDescent="0.3">
      <c r="A51" t="s">
        <v>103</v>
      </c>
      <c r="B51" t="s">
        <v>104</v>
      </c>
      <c r="C51">
        <v>23</v>
      </c>
      <c r="D51" t="s">
        <v>35</v>
      </c>
      <c r="E51" t="s">
        <v>105</v>
      </c>
      <c r="F51" t="s">
        <v>98</v>
      </c>
      <c r="G51" t="s">
        <v>25</v>
      </c>
      <c r="H51" t="s">
        <v>73</v>
      </c>
      <c r="I51" t="s">
        <v>151</v>
      </c>
      <c r="J51" s="1">
        <v>45416.770833333336</v>
      </c>
      <c r="K51">
        <v>1</v>
      </c>
      <c r="L51" s="2">
        <v>829</v>
      </c>
      <c r="M51" s="2">
        <v>829</v>
      </c>
      <c r="N51" t="s">
        <v>61</v>
      </c>
      <c r="O51" t="s">
        <v>42</v>
      </c>
      <c r="P51" t="s">
        <v>43</v>
      </c>
      <c r="Q51" t="s">
        <v>106</v>
      </c>
      <c r="R51" t="s">
        <v>32</v>
      </c>
      <c r="S51">
        <v>2</v>
      </c>
      <c r="T51" s="1">
        <v>45416.770833333336</v>
      </c>
      <c r="U51" s="1" t="str">
        <f>TEXT(tblSales[[#This Row],[Purchase Date]],"yyyy-mm")</f>
        <v>2024-05</v>
      </c>
      <c r="V51" s="1" t="str">
        <f>IF(tblSales[[#This Row],[Age]]&lt;25,"18-24",IF(tblSales[[#This Row],[Age]]&lt;35,"25-34",IF(tblSales[[#This Row],[Age]]&lt;45,"35-44",IF(tblSales[[#This Row],[Age]]&lt;55,"45-54","55+"))))</f>
        <v>18-24</v>
      </c>
    </row>
    <row r="52" spans="1:22" x14ac:dyDescent="0.3">
      <c r="A52" t="s">
        <v>55</v>
      </c>
      <c r="B52" t="s">
        <v>56</v>
      </c>
      <c r="C52">
        <v>36</v>
      </c>
      <c r="D52" t="s">
        <v>22</v>
      </c>
      <c r="E52" t="s">
        <v>57</v>
      </c>
      <c r="F52" t="s">
        <v>37</v>
      </c>
      <c r="G52" t="s">
        <v>58</v>
      </c>
      <c r="H52" t="s">
        <v>93</v>
      </c>
      <c r="I52" t="s">
        <v>149</v>
      </c>
      <c r="J52" s="1">
        <v>45417.770833333336</v>
      </c>
      <c r="K52">
        <v>3</v>
      </c>
      <c r="L52" s="2">
        <v>1843</v>
      </c>
      <c r="M52" s="2">
        <v>5529</v>
      </c>
      <c r="N52" t="s">
        <v>28</v>
      </c>
      <c r="O52" t="s">
        <v>42</v>
      </c>
      <c r="P52" t="s">
        <v>30</v>
      </c>
      <c r="Q52" t="s">
        <v>31</v>
      </c>
      <c r="R52" t="s">
        <v>32</v>
      </c>
      <c r="S52">
        <v>7</v>
      </c>
      <c r="T52" s="1">
        <v>45622.770833333336</v>
      </c>
      <c r="U52" s="1" t="str">
        <f>TEXT(tblSales[[#This Row],[Purchase Date]],"yyyy-mm")</f>
        <v>2024-05</v>
      </c>
      <c r="V52" s="1" t="str">
        <f>IF(tblSales[[#This Row],[Age]]&lt;25,"18-24",IF(tblSales[[#This Row],[Age]]&lt;35,"25-34",IF(tblSales[[#This Row],[Age]]&lt;45,"35-44",IF(tblSales[[#This Row],[Age]]&lt;55,"45-54","55+"))))</f>
        <v>35-44</v>
      </c>
    </row>
    <row r="53" spans="1:22" x14ac:dyDescent="0.3">
      <c r="A53" t="s">
        <v>107</v>
      </c>
      <c r="B53" t="s">
        <v>108</v>
      </c>
      <c r="C53">
        <v>60</v>
      </c>
      <c r="D53" t="s">
        <v>22</v>
      </c>
      <c r="E53" t="s">
        <v>105</v>
      </c>
      <c r="F53" t="s">
        <v>98</v>
      </c>
      <c r="G53" t="s">
        <v>50</v>
      </c>
      <c r="H53" t="s">
        <v>82</v>
      </c>
      <c r="I53" t="s">
        <v>83</v>
      </c>
      <c r="J53" s="1">
        <v>45417.770833333336</v>
      </c>
      <c r="K53">
        <v>1</v>
      </c>
      <c r="L53" s="2">
        <v>6313</v>
      </c>
      <c r="M53" s="2">
        <v>5681.7</v>
      </c>
      <c r="N53" t="s">
        <v>61</v>
      </c>
      <c r="O53" t="s">
        <v>42</v>
      </c>
      <c r="P53" t="s">
        <v>30</v>
      </c>
      <c r="Q53" t="s">
        <v>31</v>
      </c>
      <c r="R53" t="s">
        <v>45</v>
      </c>
      <c r="S53">
        <v>11</v>
      </c>
      <c r="T53" s="1">
        <v>45627.770833333336</v>
      </c>
      <c r="U53" s="1" t="str">
        <f>TEXT(tblSales[[#This Row],[Purchase Date]],"yyyy-mm")</f>
        <v>2024-05</v>
      </c>
      <c r="V53" s="1" t="str">
        <f>IF(tblSales[[#This Row],[Age]]&lt;25,"18-24",IF(tblSales[[#This Row],[Age]]&lt;35,"25-34",IF(tblSales[[#This Row],[Age]]&lt;45,"35-44",IF(tblSales[[#This Row],[Age]]&lt;55,"45-54","55+"))))</f>
        <v>55+</v>
      </c>
    </row>
    <row r="54" spans="1:22" x14ac:dyDescent="0.3">
      <c r="A54" t="s">
        <v>152</v>
      </c>
      <c r="B54" t="s">
        <v>153</v>
      </c>
      <c r="C54">
        <v>63</v>
      </c>
      <c r="D54" t="s">
        <v>22</v>
      </c>
      <c r="E54" t="s">
        <v>97</v>
      </c>
      <c r="F54" t="s">
        <v>98</v>
      </c>
      <c r="G54" t="s">
        <v>78</v>
      </c>
      <c r="H54" t="s">
        <v>39</v>
      </c>
      <c r="I54" t="s">
        <v>129</v>
      </c>
      <c r="J54" s="1">
        <v>45418.770833333336</v>
      </c>
      <c r="K54">
        <v>3</v>
      </c>
      <c r="L54" s="2">
        <v>5278</v>
      </c>
      <c r="M54" s="2">
        <v>15834</v>
      </c>
      <c r="N54" t="s">
        <v>28</v>
      </c>
      <c r="O54" t="s">
        <v>29</v>
      </c>
      <c r="P54" t="s">
        <v>43</v>
      </c>
      <c r="Q54" t="s">
        <v>31</v>
      </c>
      <c r="R54" t="s">
        <v>32</v>
      </c>
      <c r="S54">
        <v>5</v>
      </c>
      <c r="T54" s="1">
        <v>45649.770833333336</v>
      </c>
      <c r="U54" s="1" t="str">
        <f>TEXT(tblSales[[#This Row],[Purchase Date]],"yyyy-mm")</f>
        <v>2024-05</v>
      </c>
      <c r="V54" s="1" t="str">
        <f>IF(tblSales[[#This Row],[Age]]&lt;25,"18-24",IF(tblSales[[#This Row],[Age]]&lt;35,"25-34",IF(tblSales[[#This Row],[Age]]&lt;45,"35-44",IF(tblSales[[#This Row],[Age]]&lt;55,"45-54","55+"))))</f>
        <v>55+</v>
      </c>
    </row>
    <row r="55" spans="1:22" x14ac:dyDescent="0.3">
      <c r="A55" t="s">
        <v>154</v>
      </c>
      <c r="B55" t="s">
        <v>155</v>
      </c>
      <c r="C55">
        <v>21</v>
      </c>
      <c r="D55" t="s">
        <v>22</v>
      </c>
      <c r="E55" t="s">
        <v>48</v>
      </c>
      <c r="F55" t="s">
        <v>49</v>
      </c>
      <c r="G55" t="s">
        <v>78</v>
      </c>
      <c r="H55" t="s">
        <v>82</v>
      </c>
      <c r="I55" t="s">
        <v>140</v>
      </c>
      <c r="J55" s="1">
        <v>45418.770833333336</v>
      </c>
      <c r="K55">
        <v>1</v>
      </c>
      <c r="L55" s="2">
        <v>6230</v>
      </c>
      <c r="M55" s="2">
        <v>6230</v>
      </c>
      <c r="N55" t="s">
        <v>61</v>
      </c>
      <c r="O55" t="s">
        <v>29</v>
      </c>
      <c r="P55" t="s">
        <v>30</v>
      </c>
      <c r="Q55" t="s">
        <v>44</v>
      </c>
      <c r="R55" t="s">
        <v>32</v>
      </c>
      <c r="S55">
        <v>3</v>
      </c>
      <c r="T55" s="1">
        <v>45603.770833333336</v>
      </c>
      <c r="U55" s="1" t="str">
        <f>TEXT(tblSales[[#This Row],[Purchase Date]],"yyyy-mm")</f>
        <v>2024-05</v>
      </c>
      <c r="V55" s="1" t="str">
        <f>IF(tblSales[[#This Row],[Age]]&lt;25,"18-24",IF(tblSales[[#This Row],[Age]]&lt;35,"25-34",IF(tblSales[[#This Row],[Age]]&lt;45,"35-44",IF(tblSales[[#This Row],[Age]]&lt;55,"45-54","55+"))))</f>
        <v>18-24</v>
      </c>
    </row>
    <row r="56" spans="1:22" x14ac:dyDescent="0.3">
      <c r="A56" t="s">
        <v>156</v>
      </c>
      <c r="B56" t="s">
        <v>157</v>
      </c>
      <c r="C56">
        <v>39</v>
      </c>
      <c r="D56" t="s">
        <v>22</v>
      </c>
      <c r="E56" t="s">
        <v>158</v>
      </c>
      <c r="F56" t="s">
        <v>24</v>
      </c>
      <c r="G56" t="s">
        <v>136</v>
      </c>
      <c r="H56" t="s">
        <v>73</v>
      </c>
      <c r="I56" t="s">
        <v>122</v>
      </c>
      <c r="J56" s="1">
        <v>45419.770833333336</v>
      </c>
      <c r="K56">
        <v>2</v>
      </c>
      <c r="L56" s="2">
        <v>2157</v>
      </c>
      <c r="M56" s="2">
        <v>4314</v>
      </c>
      <c r="N56" t="s">
        <v>61</v>
      </c>
      <c r="O56" t="s">
        <v>29</v>
      </c>
      <c r="P56" t="s">
        <v>43</v>
      </c>
      <c r="Q56" t="s">
        <v>106</v>
      </c>
      <c r="R56" t="s">
        <v>32</v>
      </c>
      <c r="S56">
        <v>2</v>
      </c>
      <c r="T56" s="1">
        <v>45642.770833333336</v>
      </c>
      <c r="U56" s="1" t="str">
        <f>TEXT(tblSales[[#This Row],[Purchase Date]],"yyyy-mm")</f>
        <v>2024-05</v>
      </c>
      <c r="V56" s="1" t="str">
        <f>IF(tblSales[[#This Row],[Age]]&lt;25,"18-24",IF(tblSales[[#This Row],[Age]]&lt;35,"25-34",IF(tblSales[[#This Row],[Age]]&lt;45,"35-44",IF(tblSales[[#This Row],[Age]]&lt;55,"45-54","55+"))))</f>
        <v>35-44</v>
      </c>
    </row>
    <row r="57" spans="1:22" x14ac:dyDescent="0.3">
      <c r="A57" t="s">
        <v>80</v>
      </c>
      <c r="B57" t="s">
        <v>81</v>
      </c>
      <c r="C57">
        <v>48</v>
      </c>
      <c r="D57" t="s">
        <v>22</v>
      </c>
      <c r="E57" t="s">
        <v>57</v>
      </c>
      <c r="F57" t="s">
        <v>37</v>
      </c>
      <c r="G57" t="s">
        <v>25</v>
      </c>
      <c r="H57" t="s">
        <v>26</v>
      </c>
      <c r="I57" t="s">
        <v>110</v>
      </c>
      <c r="J57" s="1">
        <v>45420.770833333336</v>
      </c>
      <c r="K57">
        <v>1</v>
      </c>
      <c r="L57" s="2">
        <v>4753</v>
      </c>
      <c r="M57" s="2">
        <v>4753</v>
      </c>
      <c r="N57" t="s">
        <v>99</v>
      </c>
      <c r="O57" t="s">
        <v>29</v>
      </c>
      <c r="P57" t="s">
        <v>43</v>
      </c>
      <c r="Q57" t="s">
        <v>31</v>
      </c>
      <c r="R57" t="s">
        <v>32</v>
      </c>
      <c r="S57">
        <v>5</v>
      </c>
      <c r="T57" s="1">
        <v>45584.770833333336</v>
      </c>
      <c r="U57" s="1" t="str">
        <f>TEXT(tblSales[[#This Row],[Purchase Date]],"yyyy-mm")</f>
        <v>2024-05</v>
      </c>
      <c r="V57" s="1" t="str">
        <f>IF(tblSales[[#This Row],[Age]]&lt;25,"18-24",IF(tblSales[[#This Row],[Age]]&lt;35,"25-34",IF(tblSales[[#This Row],[Age]]&lt;45,"35-44",IF(tblSales[[#This Row],[Age]]&lt;55,"45-54","55+"))))</f>
        <v>45-54</v>
      </c>
    </row>
    <row r="58" spans="1:22" x14ac:dyDescent="0.3">
      <c r="A58" t="s">
        <v>46</v>
      </c>
      <c r="B58" t="s">
        <v>47</v>
      </c>
      <c r="C58">
        <v>55</v>
      </c>
      <c r="D58" t="s">
        <v>35</v>
      </c>
      <c r="E58" t="s">
        <v>48</v>
      </c>
      <c r="F58" t="s">
        <v>49</v>
      </c>
      <c r="G58" t="s">
        <v>50</v>
      </c>
      <c r="H58" t="s">
        <v>26</v>
      </c>
      <c r="I58" t="s">
        <v>27</v>
      </c>
      <c r="J58" s="1">
        <v>45424.770833333336</v>
      </c>
      <c r="K58">
        <v>2</v>
      </c>
      <c r="L58" s="2">
        <v>4810</v>
      </c>
      <c r="M58" s="2">
        <v>9620</v>
      </c>
      <c r="N58" t="s">
        <v>28</v>
      </c>
      <c r="O58" t="s">
        <v>29</v>
      </c>
      <c r="P58" t="s">
        <v>54</v>
      </c>
      <c r="Q58" t="s">
        <v>31</v>
      </c>
      <c r="R58" t="s">
        <v>32</v>
      </c>
      <c r="S58">
        <v>16</v>
      </c>
      <c r="T58" s="1">
        <v>45646.770833333336</v>
      </c>
      <c r="U58" s="1" t="str">
        <f>TEXT(tblSales[[#This Row],[Purchase Date]],"yyyy-mm")</f>
        <v>2024-05</v>
      </c>
      <c r="V58" s="1" t="str">
        <f>IF(tblSales[[#This Row],[Age]]&lt;25,"18-24",IF(tblSales[[#This Row],[Age]]&lt;35,"25-34",IF(tblSales[[#This Row],[Age]]&lt;45,"35-44",IF(tblSales[[#This Row],[Age]]&lt;55,"45-54","55+"))))</f>
        <v>55+</v>
      </c>
    </row>
    <row r="59" spans="1:22" x14ac:dyDescent="0.3">
      <c r="A59" t="s">
        <v>107</v>
      </c>
      <c r="B59" t="s">
        <v>108</v>
      </c>
      <c r="C59">
        <v>60</v>
      </c>
      <c r="D59" t="s">
        <v>22</v>
      </c>
      <c r="E59" t="s">
        <v>105</v>
      </c>
      <c r="F59" t="s">
        <v>98</v>
      </c>
      <c r="G59" t="s">
        <v>50</v>
      </c>
      <c r="H59" t="s">
        <v>93</v>
      </c>
      <c r="I59" t="s">
        <v>159</v>
      </c>
      <c r="J59" s="1">
        <v>45429.770833333336</v>
      </c>
      <c r="K59">
        <v>2</v>
      </c>
      <c r="L59" s="2">
        <v>899</v>
      </c>
      <c r="M59" s="2">
        <v>1798</v>
      </c>
      <c r="N59" t="s">
        <v>68</v>
      </c>
      <c r="O59" t="s">
        <v>42</v>
      </c>
      <c r="P59" t="s">
        <v>30</v>
      </c>
      <c r="Q59" t="s">
        <v>31</v>
      </c>
      <c r="R59" t="s">
        <v>32</v>
      </c>
      <c r="S59">
        <v>11</v>
      </c>
      <c r="T59" s="1">
        <v>45627.770833333336</v>
      </c>
      <c r="U59" s="1" t="str">
        <f>TEXT(tblSales[[#This Row],[Purchase Date]],"yyyy-mm")</f>
        <v>2024-05</v>
      </c>
      <c r="V59" s="1" t="str">
        <f>IF(tblSales[[#This Row],[Age]]&lt;25,"18-24",IF(tblSales[[#This Row],[Age]]&lt;35,"25-34",IF(tblSales[[#This Row],[Age]]&lt;45,"35-44",IF(tblSales[[#This Row],[Age]]&lt;55,"45-54","55+"))))</f>
        <v>55+</v>
      </c>
    </row>
    <row r="60" spans="1:22" x14ac:dyDescent="0.3">
      <c r="A60" t="s">
        <v>107</v>
      </c>
      <c r="B60" t="s">
        <v>108</v>
      </c>
      <c r="C60">
        <v>60</v>
      </c>
      <c r="D60" t="s">
        <v>22</v>
      </c>
      <c r="E60" t="s">
        <v>105</v>
      </c>
      <c r="F60" t="s">
        <v>98</v>
      </c>
      <c r="G60" t="s">
        <v>50</v>
      </c>
      <c r="H60" t="s">
        <v>51</v>
      </c>
      <c r="I60" t="s">
        <v>59</v>
      </c>
      <c r="J60" s="1">
        <v>45432.770833333336</v>
      </c>
      <c r="K60">
        <v>1</v>
      </c>
      <c r="L60" s="2">
        <v>5503</v>
      </c>
      <c r="M60" s="2">
        <v>5503</v>
      </c>
      <c r="N60" t="s">
        <v>68</v>
      </c>
      <c r="O60" t="s">
        <v>42</v>
      </c>
      <c r="P60" t="s">
        <v>30</v>
      </c>
      <c r="Q60" t="s">
        <v>31</v>
      </c>
      <c r="R60" t="s">
        <v>32</v>
      </c>
      <c r="S60">
        <v>11</v>
      </c>
      <c r="T60" s="1">
        <v>45627.770833333336</v>
      </c>
      <c r="U60" s="1" t="str">
        <f>TEXT(tblSales[[#This Row],[Purchase Date]],"yyyy-mm")</f>
        <v>2024-05</v>
      </c>
      <c r="V60" s="1" t="str">
        <f>IF(tblSales[[#This Row],[Age]]&lt;25,"18-24",IF(tblSales[[#This Row],[Age]]&lt;35,"25-34",IF(tblSales[[#This Row],[Age]]&lt;45,"35-44",IF(tblSales[[#This Row],[Age]]&lt;55,"45-54","55+"))))</f>
        <v>55+</v>
      </c>
    </row>
    <row r="61" spans="1:22" x14ac:dyDescent="0.3">
      <c r="A61" t="s">
        <v>132</v>
      </c>
      <c r="B61" t="s">
        <v>133</v>
      </c>
      <c r="C61">
        <v>23</v>
      </c>
      <c r="D61" t="s">
        <v>35</v>
      </c>
      <c r="E61" t="s">
        <v>36</v>
      </c>
      <c r="F61" t="s">
        <v>37</v>
      </c>
      <c r="G61" t="s">
        <v>58</v>
      </c>
      <c r="H61" t="s">
        <v>82</v>
      </c>
      <c r="I61" t="s">
        <v>140</v>
      </c>
      <c r="J61" s="1">
        <v>45433.770833333336</v>
      </c>
      <c r="K61">
        <v>1</v>
      </c>
      <c r="L61" s="2">
        <v>6423</v>
      </c>
      <c r="M61" s="2">
        <v>5780.7</v>
      </c>
      <c r="N61" t="s">
        <v>28</v>
      </c>
      <c r="O61" t="s">
        <v>29</v>
      </c>
      <c r="P61" t="s">
        <v>43</v>
      </c>
      <c r="Q61" t="s">
        <v>106</v>
      </c>
      <c r="R61" t="s">
        <v>45</v>
      </c>
      <c r="S61">
        <v>2</v>
      </c>
      <c r="T61" s="1">
        <v>45433.770833333336</v>
      </c>
      <c r="U61" s="1" t="str">
        <f>TEXT(tblSales[[#This Row],[Purchase Date]],"yyyy-mm")</f>
        <v>2024-05</v>
      </c>
      <c r="V61" s="1" t="str">
        <f>IF(tblSales[[#This Row],[Age]]&lt;25,"18-24",IF(tblSales[[#This Row],[Age]]&lt;35,"25-34",IF(tblSales[[#This Row],[Age]]&lt;45,"35-44",IF(tblSales[[#This Row],[Age]]&lt;55,"45-54","55+"))))</f>
        <v>18-24</v>
      </c>
    </row>
    <row r="62" spans="1:22" x14ac:dyDescent="0.3">
      <c r="A62" t="s">
        <v>119</v>
      </c>
      <c r="B62" t="s">
        <v>120</v>
      </c>
      <c r="C62">
        <v>20</v>
      </c>
      <c r="D62" t="s">
        <v>22</v>
      </c>
      <c r="E62" t="s">
        <v>36</v>
      </c>
      <c r="F62" t="s">
        <v>37</v>
      </c>
      <c r="G62" t="s">
        <v>121</v>
      </c>
      <c r="H62" t="s">
        <v>26</v>
      </c>
      <c r="I62" t="s">
        <v>60</v>
      </c>
      <c r="J62" s="1">
        <v>45434.770833333336</v>
      </c>
      <c r="K62">
        <v>1</v>
      </c>
      <c r="L62" s="2">
        <v>3887</v>
      </c>
      <c r="M62" s="2">
        <v>3498.3</v>
      </c>
      <c r="N62" t="s">
        <v>99</v>
      </c>
      <c r="O62" t="s">
        <v>53</v>
      </c>
      <c r="P62" t="s">
        <v>54</v>
      </c>
      <c r="Q62" t="s">
        <v>31</v>
      </c>
      <c r="R62" t="s">
        <v>45</v>
      </c>
      <c r="S62">
        <v>9</v>
      </c>
      <c r="T62" s="1">
        <v>45619.770833333336</v>
      </c>
      <c r="U62" s="1" t="str">
        <f>TEXT(tblSales[[#This Row],[Purchase Date]],"yyyy-mm")</f>
        <v>2024-05</v>
      </c>
      <c r="V62" s="1" t="str">
        <f>IF(tblSales[[#This Row],[Age]]&lt;25,"18-24",IF(tblSales[[#This Row],[Age]]&lt;35,"25-34",IF(tblSales[[#This Row],[Age]]&lt;45,"35-44",IF(tblSales[[#This Row],[Age]]&lt;55,"45-54","55+"))))</f>
        <v>18-24</v>
      </c>
    </row>
    <row r="63" spans="1:22" x14ac:dyDescent="0.3">
      <c r="A63" t="s">
        <v>119</v>
      </c>
      <c r="B63" t="s">
        <v>120</v>
      </c>
      <c r="C63">
        <v>20</v>
      </c>
      <c r="D63" t="s">
        <v>22</v>
      </c>
      <c r="E63" t="s">
        <v>36</v>
      </c>
      <c r="F63" t="s">
        <v>37</v>
      </c>
      <c r="G63" t="s">
        <v>121</v>
      </c>
      <c r="H63" t="s">
        <v>26</v>
      </c>
      <c r="I63" t="s">
        <v>60</v>
      </c>
      <c r="J63" s="1">
        <v>45434.770833333336</v>
      </c>
      <c r="K63">
        <v>1</v>
      </c>
      <c r="L63" s="2">
        <v>900</v>
      </c>
      <c r="M63" s="2">
        <v>900</v>
      </c>
      <c r="N63" t="s">
        <v>41</v>
      </c>
      <c r="O63" t="s">
        <v>53</v>
      </c>
      <c r="P63" t="s">
        <v>54</v>
      </c>
      <c r="Q63" t="s">
        <v>31</v>
      </c>
      <c r="R63" t="s">
        <v>32</v>
      </c>
      <c r="S63">
        <v>9</v>
      </c>
      <c r="T63" s="1">
        <v>45619.770833333336</v>
      </c>
      <c r="U63" s="1" t="str">
        <f>TEXT(tblSales[[#This Row],[Purchase Date]],"yyyy-mm")</f>
        <v>2024-05</v>
      </c>
      <c r="V63" s="1" t="str">
        <f>IF(tblSales[[#This Row],[Age]]&lt;25,"18-24",IF(tblSales[[#This Row],[Age]]&lt;35,"25-34",IF(tblSales[[#This Row],[Age]]&lt;45,"35-44",IF(tblSales[[#This Row],[Age]]&lt;55,"45-54","55+"))))</f>
        <v>18-24</v>
      </c>
    </row>
    <row r="64" spans="1:22" x14ac:dyDescent="0.3">
      <c r="A64" t="s">
        <v>160</v>
      </c>
      <c r="B64" t="s">
        <v>161</v>
      </c>
      <c r="C64">
        <v>48</v>
      </c>
      <c r="D64" t="s">
        <v>35</v>
      </c>
      <c r="E64" t="s">
        <v>77</v>
      </c>
      <c r="F64" t="s">
        <v>49</v>
      </c>
      <c r="G64" t="s">
        <v>121</v>
      </c>
      <c r="H64" t="s">
        <v>51</v>
      </c>
      <c r="I64" t="s">
        <v>123</v>
      </c>
      <c r="J64" s="1">
        <v>45444.770833333336</v>
      </c>
      <c r="K64">
        <v>1</v>
      </c>
      <c r="L64" s="2">
        <v>23233</v>
      </c>
      <c r="M64" s="2">
        <v>23233</v>
      </c>
      <c r="N64" t="s">
        <v>28</v>
      </c>
      <c r="O64" t="s">
        <v>29</v>
      </c>
      <c r="P64" t="s">
        <v>43</v>
      </c>
      <c r="Q64" t="s">
        <v>106</v>
      </c>
      <c r="R64" t="s">
        <v>32</v>
      </c>
      <c r="S64">
        <v>2</v>
      </c>
      <c r="T64" s="1">
        <v>45621.770833333336</v>
      </c>
      <c r="U64" s="1" t="str">
        <f>TEXT(tblSales[[#This Row],[Purchase Date]],"yyyy-mm")</f>
        <v>2024-06</v>
      </c>
      <c r="V64" s="1" t="str">
        <f>IF(tblSales[[#This Row],[Age]]&lt;25,"18-24",IF(tblSales[[#This Row],[Age]]&lt;35,"25-34",IF(tblSales[[#This Row],[Age]]&lt;45,"35-44",IF(tblSales[[#This Row],[Age]]&lt;55,"45-54","55+"))))</f>
        <v>45-54</v>
      </c>
    </row>
    <row r="65" spans="1:22" x14ac:dyDescent="0.3">
      <c r="A65" t="s">
        <v>55</v>
      </c>
      <c r="B65" t="s">
        <v>56</v>
      </c>
      <c r="C65">
        <v>36</v>
      </c>
      <c r="D65" t="s">
        <v>22</v>
      </c>
      <c r="E65" t="s">
        <v>57</v>
      </c>
      <c r="F65" t="s">
        <v>37</v>
      </c>
      <c r="G65" t="s">
        <v>58</v>
      </c>
      <c r="H65" t="s">
        <v>82</v>
      </c>
      <c r="I65" t="s">
        <v>140</v>
      </c>
      <c r="J65" s="1">
        <v>45446.770833333336</v>
      </c>
      <c r="K65">
        <v>1</v>
      </c>
      <c r="L65" s="2">
        <v>6286</v>
      </c>
      <c r="M65" s="2">
        <v>6286</v>
      </c>
      <c r="N65" t="s">
        <v>28</v>
      </c>
      <c r="O65" t="s">
        <v>42</v>
      </c>
      <c r="P65" t="s">
        <v>30</v>
      </c>
      <c r="Q65" t="s">
        <v>31</v>
      </c>
      <c r="R65" t="s">
        <v>32</v>
      </c>
      <c r="S65">
        <v>7</v>
      </c>
      <c r="T65" s="1">
        <v>45622.770833333336</v>
      </c>
      <c r="U65" s="1" t="str">
        <f>TEXT(tblSales[[#This Row],[Purchase Date]],"yyyy-mm")</f>
        <v>2024-06</v>
      </c>
      <c r="V65" s="1" t="str">
        <f>IF(tblSales[[#This Row],[Age]]&lt;25,"18-24",IF(tblSales[[#This Row],[Age]]&lt;35,"25-34",IF(tblSales[[#This Row],[Age]]&lt;45,"35-44",IF(tblSales[[#This Row],[Age]]&lt;55,"45-54","55+"))))</f>
        <v>35-44</v>
      </c>
    </row>
    <row r="66" spans="1:22" x14ac:dyDescent="0.3">
      <c r="A66" t="s">
        <v>162</v>
      </c>
      <c r="B66" t="s">
        <v>155</v>
      </c>
      <c r="C66">
        <v>51</v>
      </c>
      <c r="D66" t="s">
        <v>22</v>
      </c>
      <c r="E66" t="s">
        <v>36</v>
      </c>
      <c r="F66" t="s">
        <v>37</v>
      </c>
      <c r="G66" t="s">
        <v>78</v>
      </c>
      <c r="H66" t="s">
        <v>73</v>
      </c>
      <c r="I66" t="s">
        <v>74</v>
      </c>
      <c r="J66" s="1">
        <v>45446.770833333336</v>
      </c>
      <c r="K66">
        <v>1</v>
      </c>
      <c r="L66" s="2">
        <v>389</v>
      </c>
      <c r="M66" s="2">
        <v>330.65</v>
      </c>
      <c r="N66" t="s">
        <v>41</v>
      </c>
      <c r="O66" t="s">
        <v>53</v>
      </c>
      <c r="P66" t="s">
        <v>43</v>
      </c>
      <c r="Q66" t="s">
        <v>106</v>
      </c>
      <c r="R66" t="s">
        <v>45</v>
      </c>
      <c r="S66">
        <v>1</v>
      </c>
      <c r="T66" s="1">
        <v>45446.770833333336</v>
      </c>
      <c r="U66" s="1" t="str">
        <f>TEXT(tblSales[[#This Row],[Purchase Date]],"yyyy-mm")</f>
        <v>2024-06</v>
      </c>
      <c r="V66" s="1" t="str">
        <f>IF(tblSales[[#This Row],[Age]]&lt;25,"18-24",IF(tblSales[[#This Row],[Age]]&lt;35,"25-34",IF(tblSales[[#This Row],[Age]]&lt;45,"35-44",IF(tblSales[[#This Row],[Age]]&lt;55,"45-54","55+"))))</f>
        <v>45-54</v>
      </c>
    </row>
    <row r="67" spans="1:22" x14ac:dyDescent="0.3">
      <c r="A67" t="s">
        <v>95</v>
      </c>
      <c r="B67" t="s">
        <v>96</v>
      </c>
      <c r="C67">
        <v>23</v>
      </c>
      <c r="D67" t="s">
        <v>35</v>
      </c>
      <c r="E67" t="s">
        <v>97</v>
      </c>
      <c r="F67" t="s">
        <v>98</v>
      </c>
      <c r="G67" t="s">
        <v>50</v>
      </c>
      <c r="H67" t="s">
        <v>73</v>
      </c>
      <c r="I67" t="s">
        <v>122</v>
      </c>
      <c r="J67" s="1">
        <v>45454.770833333336</v>
      </c>
      <c r="K67">
        <v>1</v>
      </c>
      <c r="L67" s="2">
        <v>2516</v>
      </c>
      <c r="M67" s="2">
        <v>2138.6</v>
      </c>
      <c r="N67" t="s">
        <v>68</v>
      </c>
      <c r="O67" t="s">
        <v>53</v>
      </c>
      <c r="P67" t="s">
        <v>43</v>
      </c>
      <c r="Q67" t="s">
        <v>31</v>
      </c>
      <c r="R67" t="s">
        <v>45</v>
      </c>
      <c r="S67">
        <v>8</v>
      </c>
      <c r="T67" s="1">
        <v>45569.770833333336</v>
      </c>
      <c r="U67" s="1" t="str">
        <f>TEXT(tblSales[[#This Row],[Purchase Date]],"yyyy-mm")</f>
        <v>2024-06</v>
      </c>
      <c r="V67" s="1" t="str">
        <f>IF(tblSales[[#This Row],[Age]]&lt;25,"18-24",IF(tblSales[[#This Row],[Age]]&lt;35,"25-34",IF(tblSales[[#This Row],[Age]]&lt;45,"35-44",IF(tblSales[[#This Row],[Age]]&lt;55,"45-54","55+"))))</f>
        <v>18-24</v>
      </c>
    </row>
    <row r="68" spans="1:22" x14ac:dyDescent="0.3">
      <c r="A68" t="s">
        <v>127</v>
      </c>
      <c r="B68" t="s">
        <v>128</v>
      </c>
      <c r="C68">
        <v>26</v>
      </c>
      <c r="D68" t="s">
        <v>35</v>
      </c>
      <c r="E68" t="s">
        <v>71</v>
      </c>
      <c r="F68" t="s">
        <v>24</v>
      </c>
      <c r="G68" t="s">
        <v>121</v>
      </c>
      <c r="H68" t="s">
        <v>93</v>
      </c>
      <c r="I68" t="s">
        <v>163</v>
      </c>
      <c r="J68" s="1">
        <v>45455.770833333336</v>
      </c>
      <c r="K68">
        <v>1</v>
      </c>
      <c r="L68" s="2">
        <v>1159</v>
      </c>
      <c r="M68" s="2">
        <v>1159</v>
      </c>
      <c r="N68" t="s">
        <v>28</v>
      </c>
      <c r="O68" t="s">
        <v>42</v>
      </c>
      <c r="P68" t="s">
        <v>43</v>
      </c>
      <c r="Q68" t="s">
        <v>44</v>
      </c>
      <c r="R68" t="s">
        <v>32</v>
      </c>
      <c r="S68">
        <v>4</v>
      </c>
      <c r="T68" s="1">
        <v>45568.770833333336</v>
      </c>
      <c r="U68" s="1" t="str">
        <f>TEXT(tblSales[[#This Row],[Purchase Date]],"yyyy-mm")</f>
        <v>2024-06</v>
      </c>
      <c r="V68" s="1" t="str">
        <f>IF(tblSales[[#This Row],[Age]]&lt;25,"18-24",IF(tblSales[[#This Row],[Age]]&lt;35,"25-34",IF(tblSales[[#This Row],[Age]]&lt;45,"35-44",IF(tblSales[[#This Row],[Age]]&lt;55,"45-54","55+"))))</f>
        <v>25-34</v>
      </c>
    </row>
    <row r="69" spans="1:22" x14ac:dyDescent="0.3">
      <c r="A69" t="s">
        <v>55</v>
      </c>
      <c r="B69" t="s">
        <v>56</v>
      </c>
      <c r="C69">
        <v>36</v>
      </c>
      <c r="D69" t="s">
        <v>22</v>
      </c>
      <c r="E69" t="s">
        <v>57</v>
      </c>
      <c r="F69" t="s">
        <v>37</v>
      </c>
      <c r="G69" t="s">
        <v>58</v>
      </c>
      <c r="H69" t="s">
        <v>51</v>
      </c>
      <c r="I69" t="s">
        <v>123</v>
      </c>
      <c r="J69" s="1">
        <v>45456.770833333336</v>
      </c>
      <c r="K69">
        <v>2</v>
      </c>
      <c r="L69" s="2">
        <v>12485</v>
      </c>
      <c r="M69" s="2">
        <v>24970</v>
      </c>
      <c r="N69" t="s">
        <v>28</v>
      </c>
      <c r="O69" t="s">
        <v>29</v>
      </c>
      <c r="P69" t="s">
        <v>30</v>
      </c>
      <c r="Q69" t="s">
        <v>31</v>
      </c>
      <c r="R69" t="s">
        <v>32</v>
      </c>
      <c r="S69">
        <v>7</v>
      </c>
      <c r="T69" s="1">
        <v>45622.770833333336</v>
      </c>
      <c r="U69" s="1" t="str">
        <f>TEXT(tblSales[[#This Row],[Purchase Date]],"yyyy-mm")</f>
        <v>2024-06</v>
      </c>
      <c r="V69" s="1" t="str">
        <f>IF(tblSales[[#This Row],[Age]]&lt;25,"18-24",IF(tblSales[[#This Row],[Age]]&lt;35,"25-34",IF(tblSales[[#This Row],[Age]]&lt;45,"35-44",IF(tblSales[[#This Row],[Age]]&lt;55,"45-54","55+"))))</f>
        <v>35-44</v>
      </c>
    </row>
    <row r="70" spans="1:22" x14ac:dyDescent="0.3">
      <c r="A70" t="s">
        <v>111</v>
      </c>
      <c r="B70" t="s">
        <v>112</v>
      </c>
      <c r="C70">
        <v>27</v>
      </c>
      <c r="D70" t="s">
        <v>22</v>
      </c>
      <c r="E70" t="s">
        <v>113</v>
      </c>
      <c r="F70" t="s">
        <v>24</v>
      </c>
      <c r="G70" t="s">
        <v>78</v>
      </c>
      <c r="H70" t="s">
        <v>82</v>
      </c>
      <c r="I70" t="s">
        <v>114</v>
      </c>
      <c r="J70" s="1">
        <v>45456.770833333336</v>
      </c>
      <c r="K70">
        <v>1</v>
      </c>
      <c r="L70" s="2">
        <v>7005</v>
      </c>
      <c r="M70" s="2">
        <v>6654.75</v>
      </c>
      <c r="N70" t="s">
        <v>28</v>
      </c>
      <c r="O70" t="s">
        <v>53</v>
      </c>
      <c r="P70" t="s">
        <v>43</v>
      </c>
      <c r="Q70" t="s">
        <v>31</v>
      </c>
      <c r="R70" t="s">
        <v>45</v>
      </c>
      <c r="S70">
        <v>8</v>
      </c>
      <c r="T70" s="1">
        <v>45649.770833333336</v>
      </c>
      <c r="U70" s="1" t="str">
        <f>TEXT(tblSales[[#This Row],[Purchase Date]],"yyyy-mm")</f>
        <v>2024-06</v>
      </c>
      <c r="V70" s="1" t="str">
        <f>IF(tblSales[[#This Row],[Age]]&lt;25,"18-24",IF(tblSales[[#This Row],[Age]]&lt;35,"25-34",IF(tblSales[[#This Row],[Age]]&lt;45,"35-44",IF(tblSales[[#This Row],[Age]]&lt;55,"45-54","55+"))))</f>
        <v>25-34</v>
      </c>
    </row>
    <row r="71" spans="1:22" x14ac:dyDescent="0.3">
      <c r="A71" t="s">
        <v>46</v>
      </c>
      <c r="B71" t="s">
        <v>47</v>
      </c>
      <c r="C71">
        <v>55</v>
      </c>
      <c r="D71" t="s">
        <v>35</v>
      </c>
      <c r="E71" t="s">
        <v>48</v>
      </c>
      <c r="F71" t="s">
        <v>49</v>
      </c>
      <c r="G71" t="s">
        <v>50</v>
      </c>
      <c r="H71" t="s">
        <v>93</v>
      </c>
      <c r="I71" t="s">
        <v>149</v>
      </c>
      <c r="J71" s="1">
        <v>45457.770833333336</v>
      </c>
      <c r="K71">
        <v>2</v>
      </c>
      <c r="L71" s="2">
        <v>1440</v>
      </c>
      <c r="M71" s="2">
        <v>2592</v>
      </c>
      <c r="N71" t="s">
        <v>61</v>
      </c>
      <c r="O71" t="s">
        <v>42</v>
      </c>
      <c r="P71" t="s">
        <v>54</v>
      </c>
      <c r="Q71" t="s">
        <v>31</v>
      </c>
      <c r="R71" t="s">
        <v>45</v>
      </c>
      <c r="S71">
        <v>16</v>
      </c>
      <c r="T71" s="1">
        <v>45646.770833333336</v>
      </c>
      <c r="U71" s="1" t="str">
        <f>TEXT(tblSales[[#This Row],[Purchase Date]],"yyyy-mm")</f>
        <v>2024-06</v>
      </c>
      <c r="V71" s="1" t="str">
        <f>IF(tblSales[[#This Row],[Age]]&lt;25,"18-24",IF(tblSales[[#This Row],[Age]]&lt;35,"25-34",IF(tblSales[[#This Row],[Age]]&lt;45,"35-44",IF(tblSales[[#This Row],[Age]]&lt;55,"45-54","55+"))))</f>
        <v>55+</v>
      </c>
    </row>
    <row r="72" spans="1:22" x14ac:dyDescent="0.3">
      <c r="A72" t="s">
        <v>95</v>
      </c>
      <c r="B72" t="s">
        <v>96</v>
      </c>
      <c r="C72">
        <v>23</v>
      </c>
      <c r="D72" t="s">
        <v>35</v>
      </c>
      <c r="E72" t="s">
        <v>97</v>
      </c>
      <c r="F72" t="s">
        <v>98</v>
      </c>
      <c r="G72" t="s">
        <v>50</v>
      </c>
      <c r="H72" t="s">
        <v>93</v>
      </c>
      <c r="I72" t="s">
        <v>94</v>
      </c>
      <c r="J72" s="1">
        <v>45457.770833333336</v>
      </c>
      <c r="K72">
        <v>1</v>
      </c>
      <c r="L72" s="2">
        <v>2172</v>
      </c>
      <c r="M72" s="2">
        <v>2063.4</v>
      </c>
      <c r="N72" t="s">
        <v>99</v>
      </c>
      <c r="O72" t="s">
        <v>29</v>
      </c>
      <c r="P72" t="s">
        <v>43</v>
      </c>
      <c r="Q72" t="s">
        <v>31</v>
      </c>
      <c r="R72" t="s">
        <v>45</v>
      </c>
      <c r="S72">
        <v>8</v>
      </c>
      <c r="T72" s="1">
        <v>45569.770833333336</v>
      </c>
      <c r="U72" s="1" t="str">
        <f>TEXT(tblSales[[#This Row],[Purchase Date]],"yyyy-mm")</f>
        <v>2024-06</v>
      </c>
      <c r="V72" s="1" t="str">
        <f>IF(tblSales[[#This Row],[Age]]&lt;25,"18-24",IF(tblSales[[#This Row],[Age]]&lt;35,"25-34",IF(tblSales[[#This Row],[Age]]&lt;45,"35-44",IF(tblSales[[#This Row],[Age]]&lt;55,"45-54","55+"))))</f>
        <v>18-24</v>
      </c>
    </row>
    <row r="73" spans="1:22" x14ac:dyDescent="0.3">
      <c r="A73" t="s">
        <v>100</v>
      </c>
      <c r="B73" t="s">
        <v>101</v>
      </c>
      <c r="C73">
        <v>26</v>
      </c>
      <c r="D73" t="s">
        <v>35</v>
      </c>
      <c r="E73" t="s">
        <v>102</v>
      </c>
      <c r="F73" t="s">
        <v>98</v>
      </c>
      <c r="G73" t="s">
        <v>50</v>
      </c>
      <c r="H73" t="s">
        <v>82</v>
      </c>
      <c r="I73" t="s">
        <v>114</v>
      </c>
      <c r="J73" s="1">
        <v>45464.770833333336</v>
      </c>
      <c r="K73">
        <v>1</v>
      </c>
      <c r="L73" s="2">
        <v>1309</v>
      </c>
      <c r="M73" s="2">
        <v>1309</v>
      </c>
      <c r="N73" t="s">
        <v>28</v>
      </c>
      <c r="O73" t="s">
        <v>29</v>
      </c>
      <c r="P73" t="s">
        <v>30</v>
      </c>
      <c r="Q73" t="s">
        <v>31</v>
      </c>
      <c r="R73" t="s">
        <v>32</v>
      </c>
      <c r="S73">
        <v>9</v>
      </c>
      <c r="T73" s="1">
        <v>45648.770833333336</v>
      </c>
      <c r="U73" s="1" t="str">
        <f>TEXT(tblSales[[#This Row],[Purchase Date]],"yyyy-mm")</f>
        <v>2024-06</v>
      </c>
      <c r="V73" s="1" t="str">
        <f>IF(tblSales[[#This Row],[Age]]&lt;25,"18-24",IF(tblSales[[#This Row],[Age]]&lt;35,"25-34",IF(tblSales[[#This Row],[Age]]&lt;45,"35-44",IF(tblSales[[#This Row],[Age]]&lt;55,"45-54","55+"))))</f>
        <v>25-34</v>
      </c>
    </row>
    <row r="74" spans="1:22" x14ac:dyDescent="0.3">
      <c r="A74" t="s">
        <v>91</v>
      </c>
      <c r="B74" t="s">
        <v>92</v>
      </c>
      <c r="C74">
        <v>49</v>
      </c>
      <c r="D74" t="s">
        <v>35</v>
      </c>
      <c r="E74" t="s">
        <v>77</v>
      </c>
      <c r="F74" t="s">
        <v>49</v>
      </c>
      <c r="G74" t="s">
        <v>25</v>
      </c>
      <c r="H74" t="s">
        <v>82</v>
      </c>
      <c r="I74" t="s">
        <v>140</v>
      </c>
      <c r="J74" s="1">
        <v>45465.770833333336</v>
      </c>
      <c r="K74">
        <v>2</v>
      </c>
      <c r="L74" s="2">
        <v>7779</v>
      </c>
      <c r="M74" s="2">
        <v>14002.2</v>
      </c>
      <c r="N74" t="s">
        <v>99</v>
      </c>
      <c r="O74" t="s">
        <v>29</v>
      </c>
      <c r="P74" t="s">
        <v>43</v>
      </c>
      <c r="Q74" t="s">
        <v>44</v>
      </c>
      <c r="R74" t="s">
        <v>45</v>
      </c>
      <c r="S74">
        <v>3</v>
      </c>
      <c r="T74" s="1">
        <v>45515.770833333336</v>
      </c>
      <c r="U74" s="1" t="str">
        <f>TEXT(tblSales[[#This Row],[Purchase Date]],"yyyy-mm")</f>
        <v>2024-06</v>
      </c>
      <c r="V74" s="1" t="str">
        <f>IF(tblSales[[#This Row],[Age]]&lt;25,"18-24",IF(tblSales[[#This Row],[Age]]&lt;35,"25-34",IF(tblSales[[#This Row],[Age]]&lt;45,"35-44",IF(tblSales[[#This Row],[Age]]&lt;55,"45-54","55+"))))</f>
        <v>45-54</v>
      </c>
    </row>
    <row r="75" spans="1:22" x14ac:dyDescent="0.3">
      <c r="A75" t="s">
        <v>164</v>
      </c>
      <c r="B75" t="s">
        <v>165</v>
      </c>
      <c r="C75">
        <v>63</v>
      </c>
      <c r="D75" t="s">
        <v>22</v>
      </c>
      <c r="E75" t="s">
        <v>126</v>
      </c>
      <c r="F75" t="s">
        <v>37</v>
      </c>
      <c r="G75" t="s">
        <v>166</v>
      </c>
      <c r="H75" t="s">
        <v>51</v>
      </c>
      <c r="I75" t="s">
        <v>52</v>
      </c>
      <c r="J75" s="1">
        <v>45466.770833333336</v>
      </c>
      <c r="K75">
        <v>1</v>
      </c>
      <c r="L75" s="2">
        <v>17745</v>
      </c>
      <c r="M75" s="2">
        <v>14196</v>
      </c>
      <c r="N75" t="s">
        <v>61</v>
      </c>
      <c r="O75" t="s">
        <v>42</v>
      </c>
      <c r="P75" t="s">
        <v>54</v>
      </c>
      <c r="Q75" t="s">
        <v>31</v>
      </c>
      <c r="R75" t="s">
        <v>45</v>
      </c>
      <c r="S75">
        <v>7</v>
      </c>
      <c r="T75" s="1">
        <v>45639.770833333336</v>
      </c>
      <c r="U75" s="1" t="str">
        <f>TEXT(tblSales[[#This Row],[Purchase Date]],"yyyy-mm")</f>
        <v>2024-06</v>
      </c>
      <c r="V75" s="1" t="str">
        <f>IF(tblSales[[#This Row],[Age]]&lt;25,"18-24",IF(tblSales[[#This Row],[Age]]&lt;35,"25-34",IF(tblSales[[#This Row],[Age]]&lt;45,"35-44",IF(tblSales[[#This Row],[Age]]&lt;55,"45-54","55+"))))</f>
        <v>55+</v>
      </c>
    </row>
    <row r="76" spans="1:22" x14ac:dyDescent="0.3">
      <c r="A76" t="s">
        <v>124</v>
      </c>
      <c r="B76" t="s">
        <v>125</v>
      </c>
      <c r="C76">
        <v>40</v>
      </c>
      <c r="D76" t="s">
        <v>35</v>
      </c>
      <c r="E76" t="s">
        <v>126</v>
      </c>
      <c r="F76" t="s">
        <v>37</v>
      </c>
      <c r="G76" t="s">
        <v>72</v>
      </c>
      <c r="H76" t="s">
        <v>51</v>
      </c>
      <c r="I76" t="s">
        <v>52</v>
      </c>
      <c r="J76" s="1">
        <v>45466.770833333336</v>
      </c>
      <c r="K76">
        <v>3</v>
      </c>
      <c r="L76" s="2">
        <v>51005</v>
      </c>
      <c r="M76" s="2">
        <v>130062.75</v>
      </c>
      <c r="N76" t="s">
        <v>28</v>
      </c>
      <c r="O76" t="s">
        <v>42</v>
      </c>
      <c r="P76" t="s">
        <v>54</v>
      </c>
      <c r="Q76" t="s">
        <v>44</v>
      </c>
      <c r="R76" t="s">
        <v>45</v>
      </c>
      <c r="S76">
        <v>4</v>
      </c>
      <c r="T76" s="1">
        <v>45634.770833333336</v>
      </c>
      <c r="U76" s="1" t="str">
        <f>TEXT(tblSales[[#This Row],[Purchase Date]],"yyyy-mm")</f>
        <v>2024-06</v>
      </c>
      <c r="V76" s="1" t="str">
        <f>IF(tblSales[[#This Row],[Age]]&lt;25,"18-24",IF(tblSales[[#This Row],[Age]]&lt;35,"25-34",IF(tblSales[[#This Row],[Age]]&lt;45,"35-44",IF(tblSales[[#This Row],[Age]]&lt;55,"45-54","55+"))))</f>
        <v>35-44</v>
      </c>
    </row>
    <row r="77" spans="1:22" x14ac:dyDescent="0.3">
      <c r="A77" t="s">
        <v>111</v>
      </c>
      <c r="B77" t="s">
        <v>112</v>
      </c>
      <c r="C77">
        <v>27</v>
      </c>
      <c r="D77" t="s">
        <v>22</v>
      </c>
      <c r="E77" t="s">
        <v>113</v>
      </c>
      <c r="F77" t="s">
        <v>24</v>
      </c>
      <c r="G77" t="s">
        <v>78</v>
      </c>
      <c r="H77" t="s">
        <v>93</v>
      </c>
      <c r="I77" t="s">
        <v>159</v>
      </c>
      <c r="J77" s="1">
        <v>45467.770833333336</v>
      </c>
      <c r="K77">
        <v>2</v>
      </c>
      <c r="L77" s="2">
        <v>1101</v>
      </c>
      <c r="M77" s="2">
        <v>1761.6</v>
      </c>
      <c r="N77" t="s">
        <v>68</v>
      </c>
      <c r="O77" t="s">
        <v>29</v>
      </c>
      <c r="P77" t="s">
        <v>43</v>
      </c>
      <c r="Q77" t="s">
        <v>31</v>
      </c>
      <c r="R77" t="s">
        <v>45</v>
      </c>
      <c r="S77">
        <v>8</v>
      </c>
      <c r="T77" s="1">
        <v>45649.770833333336</v>
      </c>
      <c r="U77" s="1" t="str">
        <f>TEXT(tblSales[[#This Row],[Purchase Date]],"yyyy-mm")</f>
        <v>2024-06</v>
      </c>
      <c r="V77" s="1" t="str">
        <f>IF(tblSales[[#This Row],[Age]]&lt;25,"18-24",IF(tblSales[[#This Row],[Age]]&lt;35,"25-34",IF(tblSales[[#This Row],[Age]]&lt;45,"35-44",IF(tblSales[[#This Row],[Age]]&lt;55,"45-54","55+"))))</f>
        <v>25-34</v>
      </c>
    </row>
    <row r="78" spans="1:22" x14ac:dyDescent="0.3">
      <c r="A78" t="s">
        <v>46</v>
      </c>
      <c r="B78" t="s">
        <v>47</v>
      </c>
      <c r="C78">
        <v>55</v>
      </c>
      <c r="D78" t="s">
        <v>35</v>
      </c>
      <c r="E78" t="s">
        <v>48</v>
      </c>
      <c r="F78" t="s">
        <v>49</v>
      </c>
      <c r="G78" t="s">
        <v>50</v>
      </c>
      <c r="H78" t="s">
        <v>73</v>
      </c>
      <c r="I78" t="s">
        <v>74</v>
      </c>
      <c r="J78" s="1">
        <v>45474.770833333336</v>
      </c>
      <c r="K78">
        <v>1</v>
      </c>
      <c r="L78" s="2">
        <v>590</v>
      </c>
      <c r="M78" s="2">
        <v>472</v>
      </c>
      <c r="N78" t="s">
        <v>28</v>
      </c>
      <c r="O78" t="s">
        <v>42</v>
      </c>
      <c r="P78" t="s">
        <v>54</v>
      </c>
      <c r="Q78" t="s">
        <v>31</v>
      </c>
      <c r="R78" t="s">
        <v>45</v>
      </c>
      <c r="S78">
        <v>16</v>
      </c>
      <c r="T78" s="1">
        <v>45646.770833333336</v>
      </c>
      <c r="U78" s="1" t="str">
        <f>TEXT(tblSales[[#This Row],[Purchase Date]],"yyyy-mm")</f>
        <v>2024-07</v>
      </c>
      <c r="V78" s="1" t="str">
        <f>IF(tblSales[[#This Row],[Age]]&lt;25,"18-24",IF(tblSales[[#This Row],[Age]]&lt;35,"25-34",IF(tblSales[[#This Row],[Age]]&lt;45,"35-44",IF(tblSales[[#This Row],[Age]]&lt;55,"45-54","55+"))))</f>
        <v>55+</v>
      </c>
    </row>
    <row r="79" spans="1:22" x14ac:dyDescent="0.3">
      <c r="A79" t="s">
        <v>46</v>
      </c>
      <c r="B79" t="s">
        <v>47</v>
      </c>
      <c r="C79">
        <v>55</v>
      </c>
      <c r="D79" t="s">
        <v>35</v>
      </c>
      <c r="E79" t="s">
        <v>48</v>
      </c>
      <c r="F79" t="s">
        <v>49</v>
      </c>
      <c r="G79" t="s">
        <v>50</v>
      </c>
      <c r="H79" t="s">
        <v>39</v>
      </c>
      <c r="I79" t="s">
        <v>144</v>
      </c>
      <c r="J79" s="1">
        <v>45476.770833333336</v>
      </c>
      <c r="K79">
        <v>3</v>
      </c>
      <c r="L79" s="2">
        <v>944</v>
      </c>
      <c r="M79" s="2">
        <v>2832</v>
      </c>
      <c r="N79" t="s">
        <v>28</v>
      </c>
      <c r="O79" t="s">
        <v>42</v>
      </c>
      <c r="P79" t="s">
        <v>54</v>
      </c>
      <c r="Q79" t="s">
        <v>31</v>
      </c>
      <c r="R79" t="s">
        <v>32</v>
      </c>
      <c r="S79">
        <v>16</v>
      </c>
      <c r="T79" s="1">
        <v>45646.770833333336</v>
      </c>
      <c r="U79" s="1" t="str">
        <f>TEXT(tblSales[[#This Row],[Purchase Date]],"yyyy-mm")</f>
        <v>2024-07</v>
      </c>
      <c r="V79" s="1" t="str">
        <f>IF(tblSales[[#This Row],[Age]]&lt;25,"18-24",IF(tblSales[[#This Row],[Age]]&lt;35,"25-34",IF(tblSales[[#This Row],[Age]]&lt;45,"35-44",IF(tblSales[[#This Row],[Age]]&lt;55,"45-54","55+"))))</f>
        <v>55+</v>
      </c>
    </row>
    <row r="80" spans="1:22" x14ac:dyDescent="0.3">
      <c r="A80" t="s">
        <v>167</v>
      </c>
      <c r="B80" t="s">
        <v>168</v>
      </c>
      <c r="C80">
        <v>26</v>
      </c>
      <c r="D80" t="s">
        <v>22</v>
      </c>
      <c r="E80" t="s">
        <v>48</v>
      </c>
      <c r="F80" t="s">
        <v>49</v>
      </c>
      <c r="G80" t="s">
        <v>58</v>
      </c>
      <c r="H80" t="s">
        <v>39</v>
      </c>
      <c r="I80" t="s">
        <v>118</v>
      </c>
      <c r="J80" s="1">
        <v>45476.770833333336</v>
      </c>
      <c r="K80">
        <v>1</v>
      </c>
      <c r="L80" s="2">
        <v>1322</v>
      </c>
      <c r="M80" s="2">
        <v>1322</v>
      </c>
      <c r="N80" t="s">
        <v>28</v>
      </c>
      <c r="O80" t="s">
        <v>53</v>
      </c>
      <c r="P80" t="s">
        <v>30</v>
      </c>
      <c r="Q80" t="s">
        <v>44</v>
      </c>
      <c r="R80" t="s">
        <v>32</v>
      </c>
      <c r="S80">
        <v>3</v>
      </c>
      <c r="T80" s="1">
        <v>45599.770833333336</v>
      </c>
      <c r="U80" s="1" t="str">
        <f>TEXT(tblSales[[#This Row],[Purchase Date]],"yyyy-mm")</f>
        <v>2024-07</v>
      </c>
      <c r="V80" s="1" t="str">
        <f>IF(tblSales[[#This Row],[Age]]&lt;25,"18-24",IF(tblSales[[#This Row],[Age]]&lt;35,"25-34",IF(tblSales[[#This Row],[Age]]&lt;45,"35-44",IF(tblSales[[#This Row],[Age]]&lt;55,"45-54","55+"))))</f>
        <v>25-34</v>
      </c>
    </row>
    <row r="81" spans="1:22" x14ac:dyDescent="0.3">
      <c r="A81" t="s">
        <v>169</v>
      </c>
      <c r="B81" t="s">
        <v>170</v>
      </c>
      <c r="C81">
        <v>56</v>
      </c>
      <c r="D81" t="s">
        <v>22</v>
      </c>
      <c r="E81" t="s">
        <v>171</v>
      </c>
      <c r="F81" t="s">
        <v>98</v>
      </c>
      <c r="G81" t="s">
        <v>72</v>
      </c>
      <c r="H81" t="s">
        <v>73</v>
      </c>
      <c r="I81" t="s">
        <v>90</v>
      </c>
      <c r="J81" s="1">
        <v>45486.770833333336</v>
      </c>
      <c r="K81">
        <v>2</v>
      </c>
      <c r="L81" s="2">
        <v>1238</v>
      </c>
      <c r="M81" s="2">
        <v>2476</v>
      </c>
      <c r="N81" t="s">
        <v>68</v>
      </c>
      <c r="O81" t="s">
        <v>42</v>
      </c>
      <c r="P81" t="s">
        <v>43</v>
      </c>
      <c r="Q81" t="s">
        <v>106</v>
      </c>
      <c r="R81" t="s">
        <v>32</v>
      </c>
      <c r="S81">
        <v>2</v>
      </c>
      <c r="T81" s="1">
        <v>45555.770833333336</v>
      </c>
      <c r="U81" s="1" t="str">
        <f>TEXT(tblSales[[#This Row],[Purchase Date]],"yyyy-mm")</f>
        <v>2024-07</v>
      </c>
      <c r="V81" s="1" t="str">
        <f>IF(tblSales[[#This Row],[Age]]&lt;25,"18-24",IF(tblSales[[#This Row],[Age]]&lt;35,"25-34",IF(tblSales[[#This Row],[Age]]&lt;45,"35-44",IF(tblSales[[#This Row],[Age]]&lt;55,"45-54","55+"))))</f>
        <v>55+</v>
      </c>
    </row>
    <row r="82" spans="1:22" x14ac:dyDescent="0.3">
      <c r="A82" t="s">
        <v>46</v>
      </c>
      <c r="B82" t="s">
        <v>47</v>
      </c>
      <c r="C82">
        <v>55</v>
      </c>
      <c r="D82" t="s">
        <v>35</v>
      </c>
      <c r="E82" t="s">
        <v>48</v>
      </c>
      <c r="F82" t="s">
        <v>49</v>
      </c>
      <c r="G82" t="s">
        <v>50</v>
      </c>
      <c r="H82" t="s">
        <v>82</v>
      </c>
      <c r="I82" t="s">
        <v>140</v>
      </c>
      <c r="J82" s="1">
        <v>45493.770833333336</v>
      </c>
      <c r="K82">
        <v>2</v>
      </c>
      <c r="L82" s="2">
        <v>764</v>
      </c>
      <c r="M82" s="2">
        <v>1528</v>
      </c>
      <c r="N82" t="s">
        <v>61</v>
      </c>
      <c r="O82" t="s">
        <v>53</v>
      </c>
      <c r="P82" t="s">
        <v>54</v>
      </c>
      <c r="Q82" t="s">
        <v>31</v>
      </c>
      <c r="R82" t="s">
        <v>32</v>
      </c>
      <c r="S82">
        <v>16</v>
      </c>
      <c r="T82" s="1">
        <v>45646.770833333336</v>
      </c>
      <c r="U82" s="1" t="str">
        <f>TEXT(tblSales[[#This Row],[Purchase Date]],"yyyy-mm")</f>
        <v>2024-07</v>
      </c>
      <c r="V82" s="1" t="str">
        <f>IF(tblSales[[#This Row],[Age]]&lt;25,"18-24",IF(tblSales[[#This Row],[Age]]&lt;35,"25-34",IF(tblSales[[#This Row],[Age]]&lt;45,"35-44",IF(tblSales[[#This Row],[Age]]&lt;55,"45-54","55+"))))</f>
        <v>55+</v>
      </c>
    </row>
    <row r="83" spans="1:22" x14ac:dyDescent="0.3">
      <c r="A83" t="s">
        <v>172</v>
      </c>
      <c r="B83" t="s">
        <v>173</v>
      </c>
      <c r="C83">
        <v>31</v>
      </c>
      <c r="D83" t="s">
        <v>35</v>
      </c>
      <c r="E83" t="s">
        <v>23</v>
      </c>
      <c r="F83" t="s">
        <v>24</v>
      </c>
      <c r="G83" t="s">
        <v>166</v>
      </c>
      <c r="H83" t="s">
        <v>82</v>
      </c>
      <c r="I83" t="s">
        <v>140</v>
      </c>
      <c r="J83" s="1">
        <v>45493.770833333336</v>
      </c>
      <c r="K83">
        <v>1</v>
      </c>
      <c r="L83" s="2">
        <v>8344</v>
      </c>
      <c r="M83" s="2">
        <v>7092.4</v>
      </c>
      <c r="N83" t="s">
        <v>28</v>
      </c>
      <c r="O83" t="s">
        <v>53</v>
      </c>
      <c r="P83" t="s">
        <v>43</v>
      </c>
      <c r="Q83" t="s">
        <v>44</v>
      </c>
      <c r="R83" t="s">
        <v>45</v>
      </c>
      <c r="S83">
        <v>3</v>
      </c>
      <c r="T83" s="1">
        <v>45638.770833333336</v>
      </c>
      <c r="U83" s="1" t="str">
        <f>TEXT(tblSales[[#This Row],[Purchase Date]],"yyyy-mm")</f>
        <v>2024-07</v>
      </c>
      <c r="V83" s="1" t="str">
        <f>IF(tblSales[[#This Row],[Age]]&lt;25,"18-24",IF(tblSales[[#This Row],[Age]]&lt;35,"25-34",IF(tblSales[[#This Row],[Age]]&lt;45,"35-44",IF(tblSales[[#This Row],[Age]]&lt;55,"45-54","55+"))))</f>
        <v>25-34</v>
      </c>
    </row>
    <row r="84" spans="1:22" x14ac:dyDescent="0.3">
      <c r="A84" t="s">
        <v>55</v>
      </c>
      <c r="B84" t="s">
        <v>56</v>
      </c>
      <c r="C84">
        <v>36</v>
      </c>
      <c r="D84" t="s">
        <v>22</v>
      </c>
      <c r="E84" t="s">
        <v>57</v>
      </c>
      <c r="F84" t="s">
        <v>37</v>
      </c>
      <c r="G84" t="s">
        <v>58</v>
      </c>
      <c r="H84" t="s">
        <v>26</v>
      </c>
      <c r="I84" t="s">
        <v>67</v>
      </c>
      <c r="J84" s="1">
        <v>45496.770833333336</v>
      </c>
      <c r="K84">
        <v>1</v>
      </c>
      <c r="L84" s="2">
        <v>4805</v>
      </c>
      <c r="M84" s="2">
        <v>4805</v>
      </c>
      <c r="N84" t="s">
        <v>68</v>
      </c>
      <c r="O84" t="s">
        <v>42</v>
      </c>
      <c r="P84" t="s">
        <v>30</v>
      </c>
      <c r="Q84" t="s">
        <v>31</v>
      </c>
      <c r="R84" t="s">
        <v>32</v>
      </c>
      <c r="S84">
        <v>7</v>
      </c>
      <c r="T84" s="1">
        <v>45622.770833333336</v>
      </c>
      <c r="U84" s="1" t="str">
        <f>TEXT(tblSales[[#This Row],[Purchase Date]],"yyyy-mm")</f>
        <v>2024-07</v>
      </c>
      <c r="V84" s="1" t="str">
        <f>IF(tblSales[[#This Row],[Age]]&lt;25,"18-24",IF(tblSales[[#This Row],[Age]]&lt;35,"25-34",IF(tblSales[[#This Row],[Age]]&lt;45,"35-44",IF(tblSales[[#This Row],[Age]]&lt;55,"45-54","55+"))))</f>
        <v>35-44</v>
      </c>
    </row>
    <row r="85" spans="1:22" x14ac:dyDescent="0.3">
      <c r="A85" t="s">
        <v>95</v>
      </c>
      <c r="B85" t="s">
        <v>96</v>
      </c>
      <c r="C85">
        <v>23</v>
      </c>
      <c r="D85" t="s">
        <v>35</v>
      </c>
      <c r="E85" t="s">
        <v>97</v>
      </c>
      <c r="F85" t="s">
        <v>98</v>
      </c>
      <c r="G85" t="s">
        <v>50</v>
      </c>
      <c r="H85" t="s">
        <v>73</v>
      </c>
      <c r="I85" t="s">
        <v>122</v>
      </c>
      <c r="J85" s="1">
        <v>45504.770833333336</v>
      </c>
      <c r="K85">
        <v>1</v>
      </c>
      <c r="L85" s="2">
        <v>1620</v>
      </c>
      <c r="M85" s="2">
        <v>1377</v>
      </c>
      <c r="N85" t="s">
        <v>28</v>
      </c>
      <c r="O85" t="s">
        <v>53</v>
      </c>
      <c r="P85" t="s">
        <v>43</v>
      </c>
      <c r="Q85" t="s">
        <v>31</v>
      </c>
      <c r="R85" t="s">
        <v>45</v>
      </c>
      <c r="S85">
        <v>8</v>
      </c>
      <c r="T85" s="1">
        <v>45569.770833333336</v>
      </c>
      <c r="U85" s="1" t="str">
        <f>TEXT(tblSales[[#This Row],[Purchase Date]],"yyyy-mm")</f>
        <v>2024-07</v>
      </c>
      <c r="V85" s="1" t="str">
        <f>IF(tblSales[[#This Row],[Age]]&lt;25,"18-24",IF(tblSales[[#This Row],[Age]]&lt;35,"25-34",IF(tblSales[[#This Row],[Age]]&lt;45,"35-44",IF(tblSales[[#This Row],[Age]]&lt;55,"45-54","55+"))))</f>
        <v>18-24</v>
      </c>
    </row>
    <row r="86" spans="1:22" x14ac:dyDescent="0.3">
      <c r="A86" t="s">
        <v>46</v>
      </c>
      <c r="B86" t="s">
        <v>47</v>
      </c>
      <c r="C86">
        <v>55</v>
      </c>
      <c r="D86" t="s">
        <v>35</v>
      </c>
      <c r="E86" t="s">
        <v>48</v>
      </c>
      <c r="F86" t="s">
        <v>49</v>
      </c>
      <c r="G86" t="s">
        <v>50</v>
      </c>
      <c r="H86" t="s">
        <v>93</v>
      </c>
      <c r="I86" t="s">
        <v>94</v>
      </c>
      <c r="J86" s="1">
        <v>45505.770833333336</v>
      </c>
      <c r="K86">
        <v>1</v>
      </c>
      <c r="L86" s="2">
        <v>2643</v>
      </c>
      <c r="M86" s="2">
        <v>2378.6999999999998</v>
      </c>
      <c r="N86" t="s">
        <v>61</v>
      </c>
      <c r="O86" t="s">
        <v>42</v>
      </c>
      <c r="P86" t="s">
        <v>54</v>
      </c>
      <c r="Q86" t="s">
        <v>31</v>
      </c>
      <c r="R86" t="s">
        <v>45</v>
      </c>
      <c r="S86">
        <v>16</v>
      </c>
      <c r="T86" s="1">
        <v>45646.770833333336</v>
      </c>
      <c r="U86" s="1" t="str">
        <f>TEXT(tblSales[[#This Row],[Purchase Date]],"yyyy-mm")</f>
        <v>2024-08</v>
      </c>
      <c r="V86" s="1" t="str">
        <f>IF(tblSales[[#This Row],[Age]]&lt;25,"18-24",IF(tblSales[[#This Row],[Age]]&lt;35,"25-34",IF(tblSales[[#This Row],[Age]]&lt;45,"35-44",IF(tblSales[[#This Row],[Age]]&lt;55,"45-54","55+"))))</f>
        <v>55+</v>
      </c>
    </row>
    <row r="87" spans="1:22" x14ac:dyDescent="0.3">
      <c r="A87" t="s">
        <v>164</v>
      </c>
      <c r="B87" t="s">
        <v>165</v>
      </c>
      <c r="C87">
        <v>63</v>
      </c>
      <c r="D87" t="s">
        <v>22</v>
      </c>
      <c r="E87" t="s">
        <v>126</v>
      </c>
      <c r="F87" t="s">
        <v>37</v>
      </c>
      <c r="G87" t="s">
        <v>166</v>
      </c>
      <c r="H87" t="s">
        <v>26</v>
      </c>
      <c r="I87" t="s">
        <v>27</v>
      </c>
      <c r="J87" s="1">
        <v>45508.770833333336</v>
      </c>
      <c r="K87">
        <v>1</v>
      </c>
      <c r="L87" s="2">
        <v>4707</v>
      </c>
      <c r="M87" s="2">
        <v>4707</v>
      </c>
      <c r="N87" t="s">
        <v>28</v>
      </c>
      <c r="O87" t="s">
        <v>42</v>
      </c>
      <c r="P87" t="s">
        <v>54</v>
      </c>
      <c r="Q87" t="s">
        <v>31</v>
      </c>
      <c r="R87" t="s">
        <v>32</v>
      </c>
      <c r="S87">
        <v>7</v>
      </c>
      <c r="T87" s="1">
        <v>45639.770833333336</v>
      </c>
      <c r="U87" s="1" t="str">
        <f>TEXT(tblSales[[#This Row],[Purchase Date]],"yyyy-mm")</f>
        <v>2024-08</v>
      </c>
      <c r="V87" s="1" t="str">
        <f>IF(tblSales[[#This Row],[Age]]&lt;25,"18-24",IF(tblSales[[#This Row],[Age]]&lt;35,"25-34",IF(tblSales[[#This Row],[Age]]&lt;45,"35-44",IF(tblSales[[#This Row],[Age]]&lt;55,"45-54","55+"))))</f>
        <v>55+</v>
      </c>
    </row>
    <row r="88" spans="1:22" x14ac:dyDescent="0.3">
      <c r="A88" t="s">
        <v>164</v>
      </c>
      <c r="B88" t="s">
        <v>165</v>
      </c>
      <c r="C88">
        <v>63</v>
      </c>
      <c r="D88" t="s">
        <v>22</v>
      </c>
      <c r="E88" t="s">
        <v>126</v>
      </c>
      <c r="F88" t="s">
        <v>37</v>
      </c>
      <c r="G88" t="s">
        <v>166</v>
      </c>
      <c r="H88" t="s">
        <v>51</v>
      </c>
      <c r="I88" t="s">
        <v>59</v>
      </c>
      <c r="J88" s="1">
        <v>45508.770833333336</v>
      </c>
      <c r="K88">
        <v>3</v>
      </c>
      <c r="L88" s="2">
        <v>2843</v>
      </c>
      <c r="M88" s="2">
        <v>7676.1</v>
      </c>
      <c r="N88" t="s">
        <v>61</v>
      </c>
      <c r="O88" t="s">
        <v>42</v>
      </c>
      <c r="P88" t="s">
        <v>54</v>
      </c>
      <c r="Q88" t="s">
        <v>31</v>
      </c>
      <c r="R88" t="s">
        <v>45</v>
      </c>
      <c r="S88">
        <v>7</v>
      </c>
      <c r="T88" s="1">
        <v>45639.770833333336</v>
      </c>
      <c r="U88" s="1" t="str">
        <f>TEXT(tblSales[[#This Row],[Purchase Date]],"yyyy-mm")</f>
        <v>2024-08</v>
      </c>
      <c r="V88" s="1" t="str">
        <f>IF(tblSales[[#This Row],[Age]]&lt;25,"18-24",IF(tblSales[[#This Row],[Age]]&lt;35,"25-34",IF(tblSales[[#This Row],[Age]]&lt;45,"35-44",IF(tblSales[[#This Row],[Age]]&lt;55,"45-54","55+"))))</f>
        <v>55+</v>
      </c>
    </row>
    <row r="89" spans="1:22" x14ac:dyDescent="0.3">
      <c r="A89" t="s">
        <v>100</v>
      </c>
      <c r="B89" t="s">
        <v>101</v>
      </c>
      <c r="C89">
        <v>26</v>
      </c>
      <c r="D89" t="s">
        <v>35</v>
      </c>
      <c r="E89" t="s">
        <v>102</v>
      </c>
      <c r="F89" t="s">
        <v>98</v>
      </c>
      <c r="G89" t="s">
        <v>50</v>
      </c>
      <c r="H89" t="s">
        <v>82</v>
      </c>
      <c r="I89" t="s">
        <v>114</v>
      </c>
      <c r="J89" s="1">
        <v>45509.770833333336</v>
      </c>
      <c r="K89">
        <v>2</v>
      </c>
      <c r="L89" s="2">
        <v>7097</v>
      </c>
      <c r="M89" s="2">
        <v>14194</v>
      </c>
      <c r="N89" t="s">
        <v>28</v>
      </c>
      <c r="O89" t="s">
        <v>53</v>
      </c>
      <c r="P89" t="s">
        <v>30</v>
      </c>
      <c r="Q89" t="s">
        <v>31</v>
      </c>
      <c r="R89" t="s">
        <v>32</v>
      </c>
      <c r="S89">
        <v>9</v>
      </c>
      <c r="T89" s="1">
        <v>45648.770833333336</v>
      </c>
      <c r="U89" s="1" t="str">
        <f>TEXT(tblSales[[#This Row],[Purchase Date]],"yyyy-mm")</f>
        <v>2024-08</v>
      </c>
      <c r="V89" s="1" t="str">
        <f>IF(tblSales[[#This Row],[Age]]&lt;25,"18-24",IF(tblSales[[#This Row],[Age]]&lt;35,"25-34",IF(tblSales[[#This Row],[Age]]&lt;45,"35-44",IF(tblSales[[#This Row],[Age]]&lt;55,"45-54","55+"))))</f>
        <v>25-34</v>
      </c>
    </row>
    <row r="90" spans="1:22" x14ac:dyDescent="0.3">
      <c r="A90" t="s">
        <v>111</v>
      </c>
      <c r="B90" t="s">
        <v>112</v>
      </c>
      <c r="C90">
        <v>27</v>
      </c>
      <c r="D90" t="s">
        <v>22</v>
      </c>
      <c r="E90" t="s">
        <v>113</v>
      </c>
      <c r="F90" t="s">
        <v>24</v>
      </c>
      <c r="G90" t="s">
        <v>78</v>
      </c>
      <c r="H90" t="s">
        <v>82</v>
      </c>
      <c r="I90" t="s">
        <v>174</v>
      </c>
      <c r="J90" s="1">
        <v>45510.770833333336</v>
      </c>
      <c r="K90">
        <v>1</v>
      </c>
      <c r="L90" s="2">
        <v>5507</v>
      </c>
      <c r="M90" s="2">
        <v>5507</v>
      </c>
      <c r="N90" t="s">
        <v>28</v>
      </c>
      <c r="O90" t="s">
        <v>53</v>
      </c>
      <c r="P90" t="s">
        <v>43</v>
      </c>
      <c r="Q90" t="s">
        <v>31</v>
      </c>
      <c r="R90" t="s">
        <v>32</v>
      </c>
      <c r="S90">
        <v>8</v>
      </c>
      <c r="T90" s="1">
        <v>45649.770833333336</v>
      </c>
      <c r="U90" s="1" t="str">
        <f>TEXT(tblSales[[#This Row],[Purchase Date]],"yyyy-mm")</f>
        <v>2024-08</v>
      </c>
      <c r="V90" s="1" t="str">
        <f>IF(tblSales[[#This Row],[Age]]&lt;25,"18-24",IF(tblSales[[#This Row],[Age]]&lt;35,"25-34",IF(tblSales[[#This Row],[Age]]&lt;45,"35-44",IF(tblSales[[#This Row],[Age]]&lt;55,"45-54","55+"))))</f>
        <v>25-34</v>
      </c>
    </row>
    <row r="91" spans="1:22" x14ac:dyDescent="0.3">
      <c r="A91" t="s">
        <v>46</v>
      </c>
      <c r="B91" t="s">
        <v>47</v>
      </c>
      <c r="C91">
        <v>55</v>
      </c>
      <c r="D91" t="s">
        <v>35</v>
      </c>
      <c r="E91" t="s">
        <v>48</v>
      </c>
      <c r="F91" t="s">
        <v>49</v>
      </c>
      <c r="G91" t="s">
        <v>50</v>
      </c>
      <c r="H91" t="s">
        <v>93</v>
      </c>
      <c r="I91" t="s">
        <v>163</v>
      </c>
      <c r="J91" s="1">
        <v>45512.770833333336</v>
      </c>
      <c r="K91">
        <v>2</v>
      </c>
      <c r="L91" s="2">
        <v>2480</v>
      </c>
      <c r="M91" s="2">
        <v>4960</v>
      </c>
      <c r="N91" t="s">
        <v>99</v>
      </c>
      <c r="O91" t="s">
        <v>53</v>
      </c>
      <c r="P91" t="s">
        <v>54</v>
      </c>
      <c r="Q91" t="s">
        <v>31</v>
      </c>
      <c r="R91" t="s">
        <v>32</v>
      </c>
      <c r="S91">
        <v>16</v>
      </c>
      <c r="T91" s="1">
        <v>45646.770833333336</v>
      </c>
      <c r="U91" s="1" t="str">
        <f>TEXT(tblSales[[#This Row],[Purchase Date]],"yyyy-mm")</f>
        <v>2024-08</v>
      </c>
      <c r="V91" s="1" t="str">
        <f>IF(tblSales[[#This Row],[Age]]&lt;25,"18-24",IF(tblSales[[#This Row],[Age]]&lt;35,"25-34",IF(tblSales[[#This Row],[Age]]&lt;45,"35-44",IF(tblSales[[#This Row],[Age]]&lt;55,"45-54","55+"))))</f>
        <v>55+</v>
      </c>
    </row>
    <row r="92" spans="1:22" x14ac:dyDescent="0.3">
      <c r="A92" t="s">
        <v>91</v>
      </c>
      <c r="B92" t="s">
        <v>92</v>
      </c>
      <c r="C92">
        <v>49</v>
      </c>
      <c r="D92" t="s">
        <v>35</v>
      </c>
      <c r="E92" t="s">
        <v>77</v>
      </c>
      <c r="F92" t="s">
        <v>49</v>
      </c>
      <c r="G92" t="s">
        <v>25</v>
      </c>
      <c r="H92" t="s">
        <v>26</v>
      </c>
      <c r="I92" t="s">
        <v>110</v>
      </c>
      <c r="J92" s="1">
        <v>45515.770833333336</v>
      </c>
      <c r="K92">
        <v>2</v>
      </c>
      <c r="L92" s="2">
        <v>4830</v>
      </c>
      <c r="M92" s="2">
        <v>9177</v>
      </c>
      <c r="N92" t="s">
        <v>28</v>
      </c>
      <c r="O92" t="s">
        <v>29</v>
      </c>
      <c r="P92" t="s">
        <v>43</v>
      </c>
      <c r="Q92" t="s">
        <v>44</v>
      </c>
      <c r="R92" t="s">
        <v>45</v>
      </c>
      <c r="S92">
        <v>3</v>
      </c>
      <c r="T92" s="1">
        <v>45515.770833333336</v>
      </c>
      <c r="U92" s="1" t="str">
        <f>TEXT(tblSales[[#This Row],[Purchase Date]],"yyyy-mm")</f>
        <v>2024-08</v>
      </c>
      <c r="V92" s="1" t="str">
        <f>IF(tblSales[[#This Row],[Age]]&lt;25,"18-24",IF(tblSales[[#This Row],[Age]]&lt;35,"25-34",IF(tblSales[[#This Row],[Age]]&lt;45,"35-44",IF(tblSales[[#This Row],[Age]]&lt;55,"45-54","55+"))))</f>
        <v>45-54</v>
      </c>
    </row>
    <row r="93" spans="1:22" x14ac:dyDescent="0.3">
      <c r="A93" t="s">
        <v>69</v>
      </c>
      <c r="B93" t="s">
        <v>70</v>
      </c>
      <c r="C93">
        <v>55</v>
      </c>
      <c r="D93" t="s">
        <v>35</v>
      </c>
      <c r="E93" t="s">
        <v>71</v>
      </c>
      <c r="F93" t="s">
        <v>24</v>
      </c>
      <c r="G93" t="s">
        <v>72</v>
      </c>
      <c r="H93" t="s">
        <v>73</v>
      </c>
      <c r="I93" t="s">
        <v>90</v>
      </c>
      <c r="J93" s="1">
        <v>45516.770833333336</v>
      </c>
      <c r="K93">
        <v>1</v>
      </c>
      <c r="L93" s="2">
        <v>2342</v>
      </c>
      <c r="M93" s="2">
        <v>1990.7</v>
      </c>
      <c r="N93" t="s">
        <v>28</v>
      </c>
      <c r="O93" t="s">
        <v>42</v>
      </c>
      <c r="P93" t="s">
        <v>43</v>
      </c>
      <c r="Q93" t="s">
        <v>44</v>
      </c>
      <c r="R93" t="s">
        <v>45</v>
      </c>
      <c r="S93">
        <v>4</v>
      </c>
      <c r="T93" s="1">
        <v>45554.770833333336</v>
      </c>
      <c r="U93" s="1" t="str">
        <f>TEXT(tblSales[[#This Row],[Purchase Date]],"yyyy-mm")</f>
        <v>2024-08</v>
      </c>
      <c r="V93" s="1" t="str">
        <f>IF(tblSales[[#This Row],[Age]]&lt;25,"18-24",IF(tblSales[[#This Row],[Age]]&lt;35,"25-34",IF(tblSales[[#This Row],[Age]]&lt;45,"35-44",IF(tblSales[[#This Row],[Age]]&lt;55,"45-54","55+"))))</f>
        <v>55+</v>
      </c>
    </row>
    <row r="94" spans="1:22" x14ac:dyDescent="0.3">
      <c r="A94" t="s">
        <v>152</v>
      </c>
      <c r="B94" t="s">
        <v>153</v>
      </c>
      <c r="C94">
        <v>63</v>
      </c>
      <c r="D94" t="s">
        <v>22</v>
      </c>
      <c r="E94" t="s">
        <v>97</v>
      </c>
      <c r="F94" t="s">
        <v>98</v>
      </c>
      <c r="G94" t="s">
        <v>78</v>
      </c>
      <c r="H94" t="s">
        <v>26</v>
      </c>
      <c r="I94" t="s">
        <v>60</v>
      </c>
      <c r="J94" s="1">
        <v>45516.770833333336</v>
      </c>
      <c r="K94">
        <v>2</v>
      </c>
      <c r="L94" s="2">
        <v>4059</v>
      </c>
      <c r="M94" s="2">
        <v>7306.2</v>
      </c>
      <c r="N94" t="s">
        <v>28</v>
      </c>
      <c r="O94" t="s">
        <v>29</v>
      </c>
      <c r="P94" t="s">
        <v>43</v>
      </c>
      <c r="Q94" t="s">
        <v>31</v>
      </c>
      <c r="R94" t="s">
        <v>45</v>
      </c>
      <c r="S94">
        <v>5</v>
      </c>
      <c r="T94" s="1">
        <v>45649.770833333336</v>
      </c>
      <c r="U94" s="1" t="str">
        <f>TEXT(tblSales[[#This Row],[Purchase Date]],"yyyy-mm")</f>
        <v>2024-08</v>
      </c>
      <c r="V94" s="1" t="str">
        <f>IF(tblSales[[#This Row],[Age]]&lt;25,"18-24",IF(tblSales[[#This Row],[Age]]&lt;35,"25-34",IF(tblSales[[#This Row],[Age]]&lt;45,"35-44",IF(tblSales[[#This Row],[Age]]&lt;55,"45-54","55+"))))</f>
        <v>55+</v>
      </c>
    </row>
    <row r="95" spans="1:22" x14ac:dyDescent="0.3">
      <c r="A95" t="s">
        <v>75</v>
      </c>
      <c r="B95" t="s">
        <v>76</v>
      </c>
      <c r="C95">
        <v>60</v>
      </c>
      <c r="D95" t="s">
        <v>22</v>
      </c>
      <c r="E95" t="s">
        <v>77</v>
      </c>
      <c r="F95" t="s">
        <v>49</v>
      </c>
      <c r="G95" t="s">
        <v>78</v>
      </c>
      <c r="H95" t="s">
        <v>93</v>
      </c>
      <c r="I95" t="s">
        <v>163</v>
      </c>
      <c r="J95" s="1">
        <v>45517.770833333336</v>
      </c>
      <c r="K95">
        <v>2</v>
      </c>
      <c r="L95" s="2">
        <v>2615</v>
      </c>
      <c r="M95" s="2">
        <v>5230</v>
      </c>
      <c r="N95" t="s">
        <v>41</v>
      </c>
      <c r="O95" t="s">
        <v>53</v>
      </c>
      <c r="P95" t="s">
        <v>54</v>
      </c>
      <c r="Q95" t="s">
        <v>31</v>
      </c>
      <c r="R95" t="s">
        <v>32</v>
      </c>
      <c r="S95">
        <v>8</v>
      </c>
      <c r="T95" s="1">
        <v>45622.770833333336</v>
      </c>
      <c r="U95" s="1" t="str">
        <f>TEXT(tblSales[[#This Row],[Purchase Date]],"yyyy-mm")</f>
        <v>2024-08</v>
      </c>
      <c r="V95" s="1" t="str">
        <f>IF(tblSales[[#This Row],[Age]]&lt;25,"18-24",IF(tblSales[[#This Row],[Age]]&lt;35,"25-34",IF(tblSales[[#This Row],[Age]]&lt;45,"35-44",IF(tblSales[[#This Row],[Age]]&lt;55,"45-54","55+"))))</f>
        <v>55+</v>
      </c>
    </row>
    <row r="96" spans="1:22" x14ac:dyDescent="0.3">
      <c r="A96" t="s">
        <v>175</v>
      </c>
      <c r="B96" t="s">
        <v>176</v>
      </c>
      <c r="C96">
        <v>56</v>
      </c>
      <c r="D96" t="s">
        <v>35</v>
      </c>
      <c r="E96" t="s">
        <v>86</v>
      </c>
      <c r="F96" t="s">
        <v>37</v>
      </c>
      <c r="G96" t="s">
        <v>78</v>
      </c>
      <c r="H96" t="s">
        <v>82</v>
      </c>
      <c r="I96" t="s">
        <v>109</v>
      </c>
      <c r="J96" s="1">
        <v>45518.770833333336</v>
      </c>
      <c r="K96">
        <v>3</v>
      </c>
      <c r="L96" s="2">
        <v>4896</v>
      </c>
      <c r="M96" s="2">
        <v>14688</v>
      </c>
      <c r="N96" t="s">
        <v>99</v>
      </c>
      <c r="O96" t="s">
        <v>53</v>
      </c>
      <c r="P96" t="s">
        <v>30</v>
      </c>
      <c r="Q96" t="s">
        <v>31</v>
      </c>
      <c r="R96" t="s">
        <v>32</v>
      </c>
      <c r="S96">
        <v>7</v>
      </c>
      <c r="T96" s="1">
        <v>45646.770833333336</v>
      </c>
      <c r="U96" s="1" t="str">
        <f>TEXT(tblSales[[#This Row],[Purchase Date]],"yyyy-mm")</f>
        <v>2024-08</v>
      </c>
      <c r="V96" s="1" t="str">
        <f>IF(tblSales[[#This Row],[Age]]&lt;25,"18-24",IF(tblSales[[#This Row],[Age]]&lt;35,"25-34",IF(tblSales[[#This Row],[Age]]&lt;45,"35-44",IF(tblSales[[#This Row],[Age]]&lt;55,"45-54","55+"))))</f>
        <v>55+</v>
      </c>
    </row>
    <row r="97" spans="1:22" x14ac:dyDescent="0.3">
      <c r="A97" t="s">
        <v>145</v>
      </c>
      <c r="B97" t="s">
        <v>146</v>
      </c>
      <c r="C97">
        <v>25</v>
      </c>
      <c r="D97" t="s">
        <v>22</v>
      </c>
      <c r="E97" t="s">
        <v>23</v>
      </c>
      <c r="F97" t="s">
        <v>24</v>
      </c>
      <c r="G97" t="s">
        <v>72</v>
      </c>
      <c r="H97" t="s">
        <v>93</v>
      </c>
      <c r="I97" t="s">
        <v>163</v>
      </c>
      <c r="J97" s="1">
        <v>45518.770833333336</v>
      </c>
      <c r="K97">
        <v>3</v>
      </c>
      <c r="L97" s="2">
        <v>668</v>
      </c>
      <c r="M97" s="2">
        <v>2004</v>
      </c>
      <c r="N97" t="s">
        <v>28</v>
      </c>
      <c r="O97" t="s">
        <v>42</v>
      </c>
      <c r="P97" t="s">
        <v>43</v>
      </c>
      <c r="Q97" t="s">
        <v>44</v>
      </c>
      <c r="R97" t="s">
        <v>32</v>
      </c>
      <c r="S97">
        <v>3</v>
      </c>
      <c r="T97" s="1">
        <v>45609.770833333336</v>
      </c>
      <c r="U97" s="1" t="str">
        <f>TEXT(tblSales[[#This Row],[Purchase Date]],"yyyy-mm")</f>
        <v>2024-08</v>
      </c>
      <c r="V97" s="1" t="str">
        <f>IF(tblSales[[#This Row],[Age]]&lt;25,"18-24",IF(tblSales[[#This Row],[Age]]&lt;35,"25-34",IF(tblSales[[#This Row],[Age]]&lt;45,"35-44",IF(tblSales[[#This Row],[Age]]&lt;55,"45-54","55+"))))</f>
        <v>25-34</v>
      </c>
    </row>
    <row r="98" spans="1:22" x14ac:dyDescent="0.3">
      <c r="A98" t="s">
        <v>33</v>
      </c>
      <c r="B98" t="s">
        <v>34</v>
      </c>
      <c r="C98">
        <v>62</v>
      </c>
      <c r="D98" t="s">
        <v>35</v>
      </c>
      <c r="E98" t="s">
        <v>36</v>
      </c>
      <c r="F98" t="s">
        <v>37</v>
      </c>
      <c r="G98" t="s">
        <v>38</v>
      </c>
      <c r="H98" t="s">
        <v>73</v>
      </c>
      <c r="I98" t="s">
        <v>151</v>
      </c>
      <c r="J98" s="1">
        <v>45525.770833333336</v>
      </c>
      <c r="K98">
        <v>1</v>
      </c>
      <c r="L98" s="2">
        <v>955</v>
      </c>
      <c r="M98" s="2">
        <v>955</v>
      </c>
      <c r="N98" t="s">
        <v>61</v>
      </c>
      <c r="O98" t="s">
        <v>29</v>
      </c>
      <c r="P98" t="s">
        <v>43</v>
      </c>
      <c r="Q98" t="s">
        <v>44</v>
      </c>
      <c r="R98" t="s">
        <v>32</v>
      </c>
      <c r="S98">
        <v>4</v>
      </c>
      <c r="T98" s="1">
        <v>45607.770833333336</v>
      </c>
      <c r="U98" s="1" t="str">
        <f>TEXT(tblSales[[#This Row],[Purchase Date]],"yyyy-mm")</f>
        <v>2024-08</v>
      </c>
      <c r="V98" s="1" t="str">
        <f>IF(tblSales[[#This Row],[Age]]&lt;25,"18-24",IF(tblSales[[#This Row],[Age]]&lt;35,"25-34",IF(tblSales[[#This Row],[Age]]&lt;45,"35-44",IF(tblSales[[#This Row],[Age]]&lt;55,"45-54","55+"))))</f>
        <v>55+</v>
      </c>
    </row>
    <row r="99" spans="1:22" x14ac:dyDescent="0.3">
      <c r="A99" t="s">
        <v>69</v>
      </c>
      <c r="B99" t="s">
        <v>70</v>
      </c>
      <c r="C99">
        <v>55</v>
      </c>
      <c r="D99" t="s">
        <v>35</v>
      </c>
      <c r="E99" t="s">
        <v>71</v>
      </c>
      <c r="F99" t="s">
        <v>24</v>
      </c>
      <c r="G99" t="s">
        <v>72</v>
      </c>
      <c r="H99" t="s">
        <v>93</v>
      </c>
      <c r="I99" t="s">
        <v>159</v>
      </c>
      <c r="J99" s="1">
        <v>45528.770833333336</v>
      </c>
      <c r="K99">
        <v>3</v>
      </c>
      <c r="L99" s="2">
        <v>3453</v>
      </c>
      <c r="M99" s="2">
        <v>10359</v>
      </c>
      <c r="N99" t="s">
        <v>28</v>
      </c>
      <c r="O99" t="s">
        <v>53</v>
      </c>
      <c r="P99" t="s">
        <v>43</v>
      </c>
      <c r="Q99" t="s">
        <v>44</v>
      </c>
      <c r="R99" t="s">
        <v>32</v>
      </c>
      <c r="S99">
        <v>4</v>
      </c>
      <c r="T99" s="1">
        <v>45554.770833333336</v>
      </c>
      <c r="U99" s="1" t="str">
        <f>TEXT(tblSales[[#This Row],[Purchase Date]],"yyyy-mm")</f>
        <v>2024-08</v>
      </c>
      <c r="V99" s="1" t="str">
        <f>IF(tblSales[[#This Row],[Age]]&lt;25,"18-24",IF(tblSales[[#This Row],[Age]]&lt;35,"25-34",IF(tblSales[[#This Row],[Age]]&lt;45,"35-44",IF(tblSales[[#This Row],[Age]]&lt;55,"45-54","55+"))))</f>
        <v>55+</v>
      </c>
    </row>
    <row r="100" spans="1:22" x14ac:dyDescent="0.3">
      <c r="A100" t="s">
        <v>111</v>
      </c>
      <c r="B100" t="s">
        <v>112</v>
      </c>
      <c r="C100">
        <v>27</v>
      </c>
      <c r="D100" t="s">
        <v>22</v>
      </c>
      <c r="E100" t="s">
        <v>113</v>
      </c>
      <c r="F100" t="s">
        <v>24</v>
      </c>
      <c r="G100" t="s">
        <v>78</v>
      </c>
      <c r="H100" t="s">
        <v>26</v>
      </c>
      <c r="I100" t="s">
        <v>27</v>
      </c>
      <c r="J100" s="1">
        <v>45531.770833333336</v>
      </c>
      <c r="K100">
        <v>1</v>
      </c>
      <c r="L100" s="2">
        <v>4371</v>
      </c>
      <c r="M100" s="2">
        <v>4371</v>
      </c>
      <c r="N100" t="s">
        <v>28</v>
      </c>
      <c r="O100" t="s">
        <v>53</v>
      </c>
      <c r="P100" t="s">
        <v>43</v>
      </c>
      <c r="Q100" t="s">
        <v>31</v>
      </c>
      <c r="R100" t="s">
        <v>32</v>
      </c>
      <c r="S100">
        <v>8</v>
      </c>
      <c r="T100" s="1">
        <v>45649.770833333336</v>
      </c>
      <c r="U100" s="1" t="str">
        <f>TEXT(tblSales[[#This Row],[Purchase Date]],"yyyy-mm")</f>
        <v>2024-08</v>
      </c>
      <c r="V100" s="1" t="str">
        <f>IF(tblSales[[#This Row],[Age]]&lt;25,"18-24",IF(tblSales[[#This Row],[Age]]&lt;35,"25-34",IF(tblSales[[#This Row],[Age]]&lt;45,"35-44",IF(tblSales[[#This Row],[Age]]&lt;55,"45-54","55+"))))</f>
        <v>25-34</v>
      </c>
    </row>
    <row r="101" spans="1:22" x14ac:dyDescent="0.3">
      <c r="A101" t="s">
        <v>119</v>
      </c>
      <c r="B101" t="s">
        <v>120</v>
      </c>
      <c r="C101">
        <v>20</v>
      </c>
      <c r="D101" t="s">
        <v>22</v>
      </c>
      <c r="E101" t="s">
        <v>36</v>
      </c>
      <c r="F101" t="s">
        <v>37</v>
      </c>
      <c r="G101" t="s">
        <v>121</v>
      </c>
      <c r="H101" t="s">
        <v>51</v>
      </c>
      <c r="I101" t="s">
        <v>123</v>
      </c>
      <c r="J101" s="1">
        <v>45537.770833333336</v>
      </c>
      <c r="K101">
        <v>3</v>
      </c>
      <c r="L101" s="2">
        <v>31028</v>
      </c>
      <c r="M101" s="2">
        <v>93084</v>
      </c>
      <c r="N101" t="s">
        <v>28</v>
      </c>
      <c r="O101" t="s">
        <v>29</v>
      </c>
      <c r="P101" t="s">
        <v>54</v>
      </c>
      <c r="Q101" t="s">
        <v>31</v>
      </c>
      <c r="R101" t="s">
        <v>32</v>
      </c>
      <c r="S101">
        <v>9</v>
      </c>
      <c r="T101" s="1">
        <v>45619.770833333336</v>
      </c>
      <c r="U101" s="1" t="str">
        <f>TEXT(tblSales[[#This Row],[Purchase Date]],"yyyy-mm")</f>
        <v>2024-09</v>
      </c>
      <c r="V101" s="1" t="str">
        <f>IF(tblSales[[#This Row],[Age]]&lt;25,"18-24",IF(tblSales[[#This Row],[Age]]&lt;35,"25-34",IF(tblSales[[#This Row],[Age]]&lt;45,"35-44",IF(tblSales[[#This Row],[Age]]&lt;55,"45-54","55+"))))</f>
        <v>18-24</v>
      </c>
    </row>
    <row r="102" spans="1:22" x14ac:dyDescent="0.3">
      <c r="A102" t="s">
        <v>167</v>
      </c>
      <c r="B102" t="s">
        <v>168</v>
      </c>
      <c r="C102">
        <v>26</v>
      </c>
      <c r="D102" t="s">
        <v>22</v>
      </c>
      <c r="E102" t="s">
        <v>48</v>
      </c>
      <c r="F102" t="s">
        <v>49</v>
      </c>
      <c r="G102" t="s">
        <v>58</v>
      </c>
      <c r="H102" t="s">
        <v>51</v>
      </c>
      <c r="I102" t="s">
        <v>150</v>
      </c>
      <c r="J102" s="1">
        <v>45539.770833333336</v>
      </c>
      <c r="K102">
        <v>2</v>
      </c>
      <c r="L102" s="2">
        <v>25970</v>
      </c>
      <c r="M102" s="2">
        <v>51940</v>
      </c>
      <c r="N102" t="s">
        <v>28</v>
      </c>
      <c r="O102" t="s">
        <v>53</v>
      </c>
      <c r="P102" t="s">
        <v>30</v>
      </c>
      <c r="Q102" t="s">
        <v>44</v>
      </c>
      <c r="R102" t="s">
        <v>32</v>
      </c>
      <c r="S102">
        <v>3</v>
      </c>
      <c r="T102" s="1">
        <v>45599.770833333336</v>
      </c>
      <c r="U102" s="1" t="str">
        <f>TEXT(tblSales[[#This Row],[Purchase Date]],"yyyy-mm")</f>
        <v>2024-09</v>
      </c>
      <c r="V102" s="1" t="str">
        <f>IF(tblSales[[#This Row],[Age]]&lt;25,"18-24",IF(tblSales[[#This Row],[Age]]&lt;35,"25-34",IF(tblSales[[#This Row],[Age]]&lt;45,"35-44",IF(tblSales[[#This Row],[Age]]&lt;55,"45-54","55+"))))</f>
        <v>25-34</v>
      </c>
    </row>
    <row r="103" spans="1:22" x14ac:dyDescent="0.3">
      <c r="A103" t="s">
        <v>119</v>
      </c>
      <c r="B103" t="s">
        <v>120</v>
      </c>
      <c r="C103">
        <v>20</v>
      </c>
      <c r="D103" t="s">
        <v>22</v>
      </c>
      <c r="E103" t="s">
        <v>36</v>
      </c>
      <c r="F103" t="s">
        <v>37</v>
      </c>
      <c r="G103" t="s">
        <v>121</v>
      </c>
      <c r="H103" t="s">
        <v>51</v>
      </c>
      <c r="I103" t="s">
        <v>123</v>
      </c>
      <c r="J103" s="1">
        <v>45541.770833333336</v>
      </c>
      <c r="K103">
        <v>1</v>
      </c>
      <c r="L103" s="2">
        <v>19904</v>
      </c>
      <c r="M103" s="2">
        <v>19904</v>
      </c>
      <c r="N103" t="s">
        <v>41</v>
      </c>
      <c r="O103" t="s">
        <v>53</v>
      </c>
      <c r="P103" t="s">
        <v>54</v>
      </c>
      <c r="Q103" t="s">
        <v>31</v>
      </c>
      <c r="R103" t="s">
        <v>32</v>
      </c>
      <c r="S103">
        <v>9</v>
      </c>
      <c r="T103" s="1">
        <v>45619.770833333336</v>
      </c>
      <c r="U103" s="1" t="str">
        <f>TEXT(tblSales[[#This Row],[Purchase Date]],"yyyy-mm")</f>
        <v>2024-09</v>
      </c>
      <c r="V103" s="1" t="str">
        <f>IF(tblSales[[#This Row],[Age]]&lt;25,"18-24",IF(tblSales[[#This Row],[Age]]&lt;35,"25-34",IF(tblSales[[#This Row],[Age]]&lt;45,"35-44",IF(tblSales[[#This Row],[Age]]&lt;55,"45-54","55+"))))</f>
        <v>18-24</v>
      </c>
    </row>
    <row r="104" spans="1:22" x14ac:dyDescent="0.3">
      <c r="A104" t="s">
        <v>177</v>
      </c>
      <c r="B104" t="s">
        <v>178</v>
      </c>
      <c r="C104">
        <v>40</v>
      </c>
      <c r="D104" t="s">
        <v>22</v>
      </c>
      <c r="E104" t="s">
        <v>102</v>
      </c>
      <c r="F104" t="s">
        <v>98</v>
      </c>
      <c r="G104" t="s">
        <v>38</v>
      </c>
      <c r="H104" t="s">
        <v>39</v>
      </c>
      <c r="I104" t="s">
        <v>40</v>
      </c>
      <c r="J104" s="1">
        <v>45542.770833333336</v>
      </c>
      <c r="K104">
        <v>3</v>
      </c>
      <c r="L104" s="2">
        <v>3853</v>
      </c>
      <c r="M104" s="2">
        <v>11559</v>
      </c>
      <c r="N104" t="s">
        <v>41</v>
      </c>
      <c r="O104" t="s">
        <v>53</v>
      </c>
      <c r="P104" t="s">
        <v>43</v>
      </c>
      <c r="Q104" t="s">
        <v>106</v>
      </c>
      <c r="R104" t="s">
        <v>32</v>
      </c>
      <c r="S104">
        <v>1</v>
      </c>
      <c r="T104" s="1">
        <v>45542.770833333336</v>
      </c>
      <c r="U104" s="1" t="str">
        <f>TEXT(tblSales[[#This Row],[Purchase Date]],"yyyy-mm")</f>
        <v>2024-09</v>
      </c>
      <c r="V104" s="1" t="str">
        <f>IF(tblSales[[#This Row],[Age]]&lt;25,"18-24",IF(tblSales[[#This Row],[Age]]&lt;35,"25-34",IF(tblSales[[#This Row],[Age]]&lt;45,"35-44",IF(tblSales[[#This Row],[Age]]&lt;55,"45-54","55+"))))</f>
        <v>35-44</v>
      </c>
    </row>
    <row r="105" spans="1:22" x14ac:dyDescent="0.3">
      <c r="A105" t="s">
        <v>84</v>
      </c>
      <c r="B105" t="s">
        <v>85</v>
      </c>
      <c r="C105">
        <v>55</v>
      </c>
      <c r="D105" t="s">
        <v>35</v>
      </c>
      <c r="E105" t="s">
        <v>86</v>
      </c>
      <c r="F105" t="s">
        <v>37</v>
      </c>
      <c r="G105" t="s">
        <v>50</v>
      </c>
      <c r="H105" t="s">
        <v>82</v>
      </c>
      <c r="I105" t="s">
        <v>114</v>
      </c>
      <c r="J105" s="1">
        <v>45542.770833333336</v>
      </c>
      <c r="K105">
        <v>1</v>
      </c>
      <c r="L105" s="2">
        <v>3381</v>
      </c>
      <c r="M105" s="2">
        <v>3381</v>
      </c>
      <c r="N105" t="s">
        <v>68</v>
      </c>
      <c r="O105" t="s">
        <v>42</v>
      </c>
      <c r="P105" t="s">
        <v>43</v>
      </c>
      <c r="Q105" t="s">
        <v>31</v>
      </c>
      <c r="R105" t="s">
        <v>32</v>
      </c>
      <c r="S105">
        <v>5</v>
      </c>
      <c r="T105" s="1">
        <v>45584.770833333336</v>
      </c>
      <c r="U105" s="1" t="str">
        <f>TEXT(tblSales[[#This Row],[Purchase Date]],"yyyy-mm")</f>
        <v>2024-09</v>
      </c>
      <c r="V105" s="1" t="str">
        <f>IF(tblSales[[#This Row],[Age]]&lt;25,"18-24",IF(tblSales[[#This Row],[Age]]&lt;35,"25-34",IF(tblSales[[#This Row],[Age]]&lt;45,"35-44",IF(tblSales[[#This Row],[Age]]&lt;55,"45-54","55+"))))</f>
        <v>55+</v>
      </c>
    </row>
    <row r="106" spans="1:22" x14ac:dyDescent="0.3">
      <c r="A106" t="s">
        <v>179</v>
      </c>
      <c r="B106" t="s">
        <v>180</v>
      </c>
      <c r="C106">
        <v>33</v>
      </c>
      <c r="D106" t="s">
        <v>35</v>
      </c>
      <c r="E106" t="s">
        <v>71</v>
      </c>
      <c r="F106" t="s">
        <v>24</v>
      </c>
      <c r="G106" t="s">
        <v>121</v>
      </c>
      <c r="H106" t="s">
        <v>26</v>
      </c>
      <c r="I106" t="s">
        <v>181</v>
      </c>
      <c r="J106" s="1">
        <v>45542.770833333336</v>
      </c>
      <c r="K106">
        <v>1</v>
      </c>
      <c r="L106" s="2">
        <v>1039</v>
      </c>
      <c r="M106" s="2">
        <v>1039</v>
      </c>
      <c r="N106" t="s">
        <v>28</v>
      </c>
      <c r="O106" t="s">
        <v>53</v>
      </c>
      <c r="P106" t="s">
        <v>43</v>
      </c>
      <c r="Q106" t="s">
        <v>106</v>
      </c>
      <c r="R106" t="s">
        <v>32</v>
      </c>
      <c r="S106">
        <v>1</v>
      </c>
      <c r="T106" s="1">
        <v>45542.770833333336</v>
      </c>
      <c r="U106" s="1" t="str">
        <f>TEXT(tblSales[[#This Row],[Purchase Date]],"yyyy-mm")</f>
        <v>2024-09</v>
      </c>
      <c r="V106" s="1" t="str">
        <f>IF(tblSales[[#This Row],[Age]]&lt;25,"18-24",IF(tblSales[[#This Row],[Age]]&lt;35,"25-34",IF(tblSales[[#This Row],[Age]]&lt;45,"35-44",IF(tblSales[[#This Row],[Age]]&lt;55,"45-54","55+"))))</f>
        <v>25-34</v>
      </c>
    </row>
    <row r="107" spans="1:22" x14ac:dyDescent="0.3">
      <c r="A107" t="s">
        <v>20</v>
      </c>
      <c r="B107" t="s">
        <v>21</v>
      </c>
      <c r="C107">
        <v>58</v>
      </c>
      <c r="D107" t="s">
        <v>22</v>
      </c>
      <c r="E107" t="s">
        <v>23</v>
      </c>
      <c r="F107" t="s">
        <v>24</v>
      </c>
      <c r="G107" t="s">
        <v>25</v>
      </c>
      <c r="H107" t="s">
        <v>93</v>
      </c>
      <c r="I107" t="s">
        <v>159</v>
      </c>
      <c r="J107" s="1">
        <v>45542.770833333336</v>
      </c>
      <c r="K107">
        <v>1</v>
      </c>
      <c r="L107" s="2">
        <v>3383</v>
      </c>
      <c r="M107" s="2">
        <v>3383</v>
      </c>
      <c r="N107" t="s">
        <v>28</v>
      </c>
      <c r="O107" t="s">
        <v>53</v>
      </c>
      <c r="P107" t="s">
        <v>30</v>
      </c>
      <c r="Q107" t="s">
        <v>31</v>
      </c>
      <c r="R107" t="s">
        <v>32</v>
      </c>
      <c r="S107">
        <v>12</v>
      </c>
      <c r="T107" s="1">
        <v>45653.770833333336</v>
      </c>
      <c r="U107" s="1" t="str">
        <f>TEXT(tblSales[[#This Row],[Purchase Date]],"yyyy-mm")</f>
        <v>2024-09</v>
      </c>
      <c r="V107" s="1" t="str">
        <f>IF(tblSales[[#This Row],[Age]]&lt;25,"18-24",IF(tblSales[[#This Row],[Age]]&lt;35,"25-34",IF(tblSales[[#This Row],[Age]]&lt;45,"35-44",IF(tblSales[[#This Row],[Age]]&lt;55,"45-54","55+"))))</f>
        <v>55+</v>
      </c>
    </row>
    <row r="108" spans="1:22" x14ac:dyDescent="0.3">
      <c r="A108" t="s">
        <v>100</v>
      </c>
      <c r="B108" t="s">
        <v>101</v>
      </c>
      <c r="C108">
        <v>26</v>
      </c>
      <c r="D108" t="s">
        <v>35</v>
      </c>
      <c r="E108" t="s">
        <v>102</v>
      </c>
      <c r="F108" t="s">
        <v>98</v>
      </c>
      <c r="G108" t="s">
        <v>50</v>
      </c>
      <c r="H108" t="s">
        <v>73</v>
      </c>
      <c r="I108" t="s">
        <v>122</v>
      </c>
      <c r="J108" s="1">
        <v>45545.770833333336</v>
      </c>
      <c r="K108">
        <v>3</v>
      </c>
      <c r="L108" s="2">
        <v>2486</v>
      </c>
      <c r="M108" s="2">
        <v>7085.1</v>
      </c>
      <c r="N108" t="s">
        <v>41</v>
      </c>
      <c r="O108" t="s">
        <v>29</v>
      </c>
      <c r="P108" t="s">
        <v>30</v>
      </c>
      <c r="Q108" t="s">
        <v>31</v>
      </c>
      <c r="R108" t="s">
        <v>45</v>
      </c>
      <c r="S108">
        <v>9</v>
      </c>
      <c r="T108" s="1">
        <v>45648.770833333336</v>
      </c>
      <c r="U108" s="1" t="str">
        <f>TEXT(tblSales[[#This Row],[Purchase Date]],"yyyy-mm")</f>
        <v>2024-09</v>
      </c>
      <c r="V108" s="1" t="str">
        <f>IF(tblSales[[#This Row],[Age]]&lt;25,"18-24",IF(tblSales[[#This Row],[Age]]&lt;35,"25-34",IF(tblSales[[#This Row],[Age]]&lt;45,"35-44",IF(tblSales[[#This Row],[Age]]&lt;55,"45-54","55+"))))</f>
        <v>25-34</v>
      </c>
    </row>
    <row r="109" spans="1:22" x14ac:dyDescent="0.3">
      <c r="A109" t="s">
        <v>107</v>
      </c>
      <c r="B109" t="s">
        <v>108</v>
      </c>
      <c r="C109">
        <v>60</v>
      </c>
      <c r="D109" t="s">
        <v>22</v>
      </c>
      <c r="E109" t="s">
        <v>105</v>
      </c>
      <c r="F109" t="s">
        <v>98</v>
      </c>
      <c r="G109" t="s">
        <v>50</v>
      </c>
      <c r="H109" t="s">
        <v>93</v>
      </c>
      <c r="I109" t="s">
        <v>182</v>
      </c>
      <c r="J109" s="1">
        <v>45547.770833333336</v>
      </c>
      <c r="K109">
        <v>1</v>
      </c>
      <c r="L109" s="2">
        <v>2259</v>
      </c>
      <c r="M109" s="2">
        <v>2259</v>
      </c>
      <c r="N109" t="s">
        <v>68</v>
      </c>
      <c r="O109" t="s">
        <v>29</v>
      </c>
      <c r="P109" t="s">
        <v>30</v>
      </c>
      <c r="Q109" t="s">
        <v>31</v>
      </c>
      <c r="R109" t="s">
        <v>32</v>
      </c>
      <c r="S109">
        <v>11</v>
      </c>
      <c r="T109" s="1">
        <v>45627.770833333336</v>
      </c>
      <c r="U109" s="1" t="str">
        <f>TEXT(tblSales[[#This Row],[Purchase Date]],"yyyy-mm")</f>
        <v>2024-09</v>
      </c>
      <c r="V109" s="1" t="str">
        <f>IF(tblSales[[#This Row],[Age]]&lt;25,"18-24",IF(tblSales[[#This Row],[Age]]&lt;35,"25-34",IF(tblSales[[#This Row],[Age]]&lt;45,"35-44",IF(tblSales[[#This Row],[Age]]&lt;55,"45-54","55+"))))</f>
        <v>55+</v>
      </c>
    </row>
    <row r="110" spans="1:22" x14ac:dyDescent="0.3">
      <c r="A110" t="s">
        <v>75</v>
      </c>
      <c r="B110" t="s">
        <v>76</v>
      </c>
      <c r="C110">
        <v>60</v>
      </c>
      <c r="D110" t="s">
        <v>22</v>
      </c>
      <c r="E110" t="s">
        <v>77</v>
      </c>
      <c r="F110" t="s">
        <v>49</v>
      </c>
      <c r="G110" t="s">
        <v>78</v>
      </c>
      <c r="H110" t="s">
        <v>93</v>
      </c>
      <c r="I110" t="s">
        <v>159</v>
      </c>
      <c r="J110" s="1">
        <v>45547.770833333336</v>
      </c>
      <c r="K110">
        <v>1</v>
      </c>
      <c r="L110" s="2">
        <v>3306</v>
      </c>
      <c r="M110" s="2">
        <v>3306</v>
      </c>
      <c r="N110" t="s">
        <v>28</v>
      </c>
      <c r="O110" t="s">
        <v>53</v>
      </c>
      <c r="P110" t="s">
        <v>54</v>
      </c>
      <c r="Q110" t="s">
        <v>31</v>
      </c>
      <c r="R110" t="s">
        <v>32</v>
      </c>
      <c r="S110">
        <v>8</v>
      </c>
      <c r="T110" s="1">
        <v>45622.770833333336</v>
      </c>
      <c r="U110" s="1" t="str">
        <f>TEXT(tblSales[[#This Row],[Purchase Date]],"yyyy-mm")</f>
        <v>2024-09</v>
      </c>
      <c r="V110" s="1" t="str">
        <f>IF(tblSales[[#This Row],[Age]]&lt;25,"18-24",IF(tblSales[[#This Row],[Age]]&lt;35,"25-34",IF(tblSales[[#This Row],[Age]]&lt;45,"35-44",IF(tblSales[[#This Row],[Age]]&lt;55,"45-54","55+"))))</f>
        <v>55+</v>
      </c>
    </row>
    <row r="111" spans="1:22" x14ac:dyDescent="0.3">
      <c r="A111" t="s">
        <v>107</v>
      </c>
      <c r="B111" t="s">
        <v>108</v>
      </c>
      <c r="C111">
        <v>60</v>
      </c>
      <c r="D111" t="s">
        <v>22</v>
      </c>
      <c r="E111" t="s">
        <v>105</v>
      </c>
      <c r="F111" t="s">
        <v>98</v>
      </c>
      <c r="G111" t="s">
        <v>50</v>
      </c>
      <c r="H111" t="s">
        <v>82</v>
      </c>
      <c r="I111" t="s">
        <v>174</v>
      </c>
      <c r="J111" s="1">
        <v>45548.770833333336</v>
      </c>
      <c r="K111">
        <v>1</v>
      </c>
      <c r="L111" s="2">
        <v>7207</v>
      </c>
      <c r="M111" s="2">
        <v>7207</v>
      </c>
      <c r="N111" t="s">
        <v>99</v>
      </c>
      <c r="O111" t="s">
        <v>29</v>
      </c>
      <c r="P111" t="s">
        <v>30</v>
      </c>
      <c r="Q111" t="s">
        <v>31</v>
      </c>
      <c r="R111" t="s">
        <v>32</v>
      </c>
      <c r="S111">
        <v>11</v>
      </c>
      <c r="T111" s="1">
        <v>45627.770833333336</v>
      </c>
      <c r="U111" s="1" t="str">
        <f>TEXT(tblSales[[#This Row],[Purchase Date]],"yyyy-mm")</f>
        <v>2024-09</v>
      </c>
      <c r="V111" s="1" t="str">
        <f>IF(tblSales[[#This Row],[Age]]&lt;25,"18-24",IF(tblSales[[#This Row],[Age]]&lt;35,"25-34",IF(tblSales[[#This Row],[Age]]&lt;45,"35-44",IF(tblSales[[#This Row],[Age]]&lt;55,"45-54","55+"))))</f>
        <v>55+</v>
      </c>
    </row>
    <row r="112" spans="1:22" x14ac:dyDescent="0.3">
      <c r="A112" t="s">
        <v>164</v>
      </c>
      <c r="B112" t="s">
        <v>165</v>
      </c>
      <c r="C112">
        <v>63</v>
      </c>
      <c r="D112" t="s">
        <v>22</v>
      </c>
      <c r="E112" t="s">
        <v>126</v>
      </c>
      <c r="F112" t="s">
        <v>37</v>
      </c>
      <c r="G112" t="s">
        <v>166</v>
      </c>
      <c r="H112" t="s">
        <v>51</v>
      </c>
      <c r="I112" t="s">
        <v>52</v>
      </c>
      <c r="J112" s="1">
        <v>45551.770833333336</v>
      </c>
      <c r="K112">
        <v>2</v>
      </c>
      <c r="L112" s="2">
        <v>46077</v>
      </c>
      <c r="M112" s="2">
        <v>92154</v>
      </c>
      <c r="N112" t="s">
        <v>28</v>
      </c>
      <c r="O112" t="s">
        <v>53</v>
      </c>
      <c r="P112" t="s">
        <v>54</v>
      </c>
      <c r="Q112" t="s">
        <v>31</v>
      </c>
      <c r="R112" t="s">
        <v>32</v>
      </c>
      <c r="S112">
        <v>7</v>
      </c>
      <c r="T112" s="1">
        <v>45639.770833333336</v>
      </c>
      <c r="U112" s="1" t="str">
        <f>TEXT(tblSales[[#This Row],[Purchase Date]],"yyyy-mm")</f>
        <v>2024-09</v>
      </c>
      <c r="V112" s="1" t="str">
        <f>IF(tblSales[[#This Row],[Age]]&lt;25,"18-24",IF(tblSales[[#This Row],[Age]]&lt;35,"25-34",IF(tblSales[[#This Row],[Age]]&lt;45,"35-44",IF(tblSales[[#This Row],[Age]]&lt;55,"45-54","55+"))))</f>
        <v>55+</v>
      </c>
    </row>
    <row r="113" spans="1:22" x14ac:dyDescent="0.3">
      <c r="A113" t="s">
        <v>183</v>
      </c>
      <c r="B113" t="s">
        <v>184</v>
      </c>
      <c r="C113">
        <v>54</v>
      </c>
      <c r="D113" t="s">
        <v>35</v>
      </c>
      <c r="E113" t="s">
        <v>102</v>
      </c>
      <c r="F113" t="s">
        <v>98</v>
      </c>
      <c r="G113" t="s">
        <v>78</v>
      </c>
      <c r="H113" t="s">
        <v>73</v>
      </c>
      <c r="I113" t="s">
        <v>74</v>
      </c>
      <c r="J113" s="1">
        <v>45552.770833333336</v>
      </c>
      <c r="K113">
        <v>1</v>
      </c>
      <c r="L113" s="2">
        <v>1084</v>
      </c>
      <c r="M113" s="2">
        <v>1084</v>
      </c>
      <c r="N113" t="s">
        <v>99</v>
      </c>
      <c r="O113" t="s">
        <v>53</v>
      </c>
      <c r="P113" t="s">
        <v>43</v>
      </c>
      <c r="Q113" t="s">
        <v>106</v>
      </c>
      <c r="R113" t="s">
        <v>32</v>
      </c>
      <c r="S113">
        <v>2</v>
      </c>
      <c r="T113" s="1">
        <v>45557.770833333336</v>
      </c>
      <c r="U113" s="1" t="str">
        <f>TEXT(tblSales[[#This Row],[Purchase Date]],"yyyy-mm")</f>
        <v>2024-09</v>
      </c>
      <c r="V113" s="1" t="str">
        <f>IF(tblSales[[#This Row],[Age]]&lt;25,"18-24",IF(tblSales[[#This Row],[Age]]&lt;35,"25-34",IF(tblSales[[#This Row],[Age]]&lt;45,"35-44",IF(tblSales[[#This Row],[Age]]&lt;55,"45-54","55+"))))</f>
        <v>45-54</v>
      </c>
    </row>
    <row r="114" spans="1:22" x14ac:dyDescent="0.3">
      <c r="A114" t="s">
        <v>138</v>
      </c>
      <c r="B114" t="s">
        <v>139</v>
      </c>
      <c r="C114">
        <v>60</v>
      </c>
      <c r="D114" t="s">
        <v>35</v>
      </c>
      <c r="E114" t="s">
        <v>105</v>
      </c>
      <c r="F114" t="s">
        <v>98</v>
      </c>
      <c r="G114" t="s">
        <v>72</v>
      </c>
      <c r="H114" t="s">
        <v>93</v>
      </c>
      <c r="I114" t="s">
        <v>94</v>
      </c>
      <c r="J114" s="1">
        <v>45552.770833333336</v>
      </c>
      <c r="K114">
        <v>2</v>
      </c>
      <c r="L114" s="2">
        <v>1890</v>
      </c>
      <c r="M114" s="2">
        <v>3213</v>
      </c>
      <c r="N114" t="s">
        <v>41</v>
      </c>
      <c r="O114" t="s">
        <v>42</v>
      </c>
      <c r="P114" t="s">
        <v>43</v>
      </c>
      <c r="Q114" t="s">
        <v>31</v>
      </c>
      <c r="R114" t="s">
        <v>45</v>
      </c>
      <c r="S114">
        <v>5</v>
      </c>
      <c r="T114" s="1">
        <v>45628.770833333336</v>
      </c>
      <c r="U114" s="1" t="str">
        <f>TEXT(tblSales[[#This Row],[Purchase Date]],"yyyy-mm")</f>
        <v>2024-09</v>
      </c>
      <c r="V114" s="1" t="str">
        <f>IF(tblSales[[#This Row],[Age]]&lt;25,"18-24",IF(tblSales[[#This Row],[Age]]&lt;35,"25-34",IF(tblSales[[#This Row],[Age]]&lt;45,"35-44",IF(tblSales[[#This Row],[Age]]&lt;55,"45-54","55+"))))</f>
        <v>55+</v>
      </c>
    </row>
    <row r="115" spans="1:22" x14ac:dyDescent="0.3">
      <c r="A115" t="s">
        <v>69</v>
      </c>
      <c r="B115" t="s">
        <v>70</v>
      </c>
      <c r="C115">
        <v>55</v>
      </c>
      <c r="D115" t="s">
        <v>35</v>
      </c>
      <c r="E115" t="s">
        <v>71</v>
      </c>
      <c r="F115" t="s">
        <v>24</v>
      </c>
      <c r="G115" t="s">
        <v>72</v>
      </c>
      <c r="H115" t="s">
        <v>82</v>
      </c>
      <c r="I115" t="s">
        <v>140</v>
      </c>
      <c r="J115" s="1">
        <v>45554.770833333336</v>
      </c>
      <c r="K115">
        <v>1</v>
      </c>
      <c r="L115" s="2">
        <v>941</v>
      </c>
      <c r="M115" s="2">
        <v>941</v>
      </c>
      <c r="N115" t="s">
        <v>68</v>
      </c>
      <c r="O115" t="s">
        <v>53</v>
      </c>
      <c r="P115" t="s">
        <v>43</v>
      </c>
      <c r="Q115" t="s">
        <v>44</v>
      </c>
      <c r="R115" t="s">
        <v>32</v>
      </c>
      <c r="S115">
        <v>4</v>
      </c>
      <c r="T115" s="1">
        <v>45554.770833333336</v>
      </c>
      <c r="U115" s="1" t="str">
        <f>TEXT(tblSales[[#This Row],[Purchase Date]],"yyyy-mm")</f>
        <v>2024-09</v>
      </c>
      <c r="V115" s="1" t="str">
        <f>IF(tblSales[[#This Row],[Age]]&lt;25,"18-24",IF(tblSales[[#This Row],[Age]]&lt;35,"25-34",IF(tblSales[[#This Row],[Age]]&lt;45,"35-44",IF(tblSales[[#This Row],[Age]]&lt;55,"45-54","55+"))))</f>
        <v>55+</v>
      </c>
    </row>
    <row r="116" spans="1:22" x14ac:dyDescent="0.3">
      <c r="A116" t="s">
        <v>169</v>
      </c>
      <c r="B116" t="s">
        <v>170</v>
      </c>
      <c r="C116">
        <v>56</v>
      </c>
      <c r="D116" t="s">
        <v>22</v>
      </c>
      <c r="E116" t="s">
        <v>171</v>
      </c>
      <c r="F116" t="s">
        <v>98</v>
      </c>
      <c r="G116" t="s">
        <v>72</v>
      </c>
      <c r="H116" t="s">
        <v>93</v>
      </c>
      <c r="I116" t="s">
        <v>163</v>
      </c>
      <c r="J116" s="1">
        <v>45555.770833333336</v>
      </c>
      <c r="K116">
        <v>3</v>
      </c>
      <c r="L116" s="2">
        <v>3265</v>
      </c>
      <c r="M116" s="2">
        <v>9795</v>
      </c>
      <c r="N116" t="s">
        <v>41</v>
      </c>
      <c r="O116" t="s">
        <v>53</v>
      </c>
      <c r="P116" t="s">
        <v>43</v>
      </c>
      <c r="Q116" t="s">
        <v>106</v>
      </c>
      <c r="R116" t="s">
        <v>32</v>
      </c>
      <c r="S116">
        <v>2</v>
      </c>
      <c r="T116" s="1">
        <v>45555.770833333336</v>
      </c>
      <c r="U116" s="1" t="str">
        <f>TEXT(tblSales[[#This Row],[Purchase Date]],"yyyy-mm")</f>
        <v>2024-09</v>
      </c>
      <c r="V116" s="1" t="str">
        <f>IF(tblSales[[#This Row],[Age]]&lt;25,"18-24",IF(tblSales[[#This Row],[Age]]&lt;35,"25-34",IF(tblSales[[#This Row],[Age]]&lt;45,"35-44",IF(tblSales[[#This Row],[Age]]&lt;55,"45-54","55+"))))</f>
        <v>55+</v>
      </c>
    </row>
    <row r="117" spans="1:22" x14ac:dyDescent="0.3">
      <c r="A117" t="s">
        <v>55</v>
      </c>
      <c r="B117" t="s">
        <v>56</v>
      </c>
      <c r="C117">
        <v>36</v>
      </c>
      <c r="D117" t="s">
        <v>22</v>
      </c>
      <c r="E117" t="s">
        <v>57</v>
      </c>
      <c r="F117" t="s">
        <v>37</v>
      </c>
      <c r="G117" t="s">
        <v>58</v>
      </c>
      <c r="H117" t="s">
        <v>51</v>
      </c>
      <c r="I117" t="s">
        <v>79</v>
      </c>
      <c r="J117" s="1">
        <v>45557.770833333336</v>
      </c>
      <c r="K117">
        <v>1</v>
      </c>
      <c r="L117" s="2">
        <v>2879</v>
      </c>
      <c r="M117" s="2">
        <v>2303.1999999999998</v>
      </c>
      <c r="N117" t="s">
        <v>41</v>
      </c>
      <c r="O117" t="s">
        <v>53</v>
      </c>
      <c r="P117" t="s">
        <v>30</v>
      </c>
      <c r="Q117" t="s">
        <v>31</v>
      </c>
      <c r="R117" t="s">
        <v>45</v>
      </c>
      <c r="S117">
        <v>7</v>
      </c>
      <c r="T117" s="1">
        <v>45622.770833333336</v>
      </c>
      <c r="U117" s="1" t="str">
        <f>TEXT(tblSales[[#This Row],[Purchase Date]],"yyyy-mm")</f>
        <v>2024-09</v>
      </c>
      <c r="V117" s="1" t="str">
        <f>IF(tblSales[[#This Row],[Age]]&lt;25,"18-24",IF(tblSales[[#This Row],[Age]]&lt;35,"25-34",IF(tblSales[[#This Row],[Age]]&lt;45,"35-44",IF(tblSales[[#This Row],[Age]]&lt;55,"45-54","55+"))))</f>
        <v>35-44</v>
      </c>
    </row>
    <row r="118" spans="1:22" x14ac:dyDescent="0.3">
      <c r="A118" t="s">
        <v>183</v>
      </c>
      <c r="B118" t="s">
        <v>184</v>
      </c>
      <c r="C118">
        <v>54</v>
      </c>
      <c r="D118" t="s">
        <v>35</v>
      </c>
      <c r="E118" t="s">
        <v>102</v>
      </c>
      <c r="F118" t="s">
        <v>98</v>
      </c>
      <c r="G118" t="s">
        <v>78</v>
      </c>
      <c r="H118" t="s">
        <v>93</v>
      </c>
      <c r="I118" t="s">
        <v>163</v>
      </c>
      <c r="J118" s="1">
        <v>45557.770833333336</v>
      </c>
      <c r="K118">
        <v>1</v>
      </c>
      <c r="L118" s="2">
        <v>1213</v>
      </c>
      <c r="M118" s="2">
        <v>1213</v>
      </c>
      <c r="N118" t="s">
        <v>28</v>
      </c>
      <c r="O118" t="s">
        <v>42</v>
      </c>
      <c r="P118" t="s">
        <v>43</v>
      </c>
      <c r="Q118" t="s">
        <v>106</v>
      </c>
      <c r="R118" t="s">
        <v>32</v>
      </c>
      <c r="S118">
        <v>2</v>
      </c>
      <c r="T118" s="1">
        <v>45557.770833333336</v>
      </c>
      <c r="U118" s="1" t="str">
        <f>TEXT(tblSales[[#This Row],[Purchase Date]],"yyyy-mm")</f>
        <v>2024-09</v>
      </c>
      <c r="V118" s="1" t="str">
        <f>IF(tblSales[[#This Row],[Age]]&lt;25,"18-24",IF(tblSales[[#This Row],[Age]]&lt;35,"25-34",IF(tblSales[[#This Row],[Age]]&lt;45,"35-44",IF(tblSales[[#This Row],[Age]]&lt;55,"45-54","55+"))))</f>
        <v>45-54</v>
      </c>
    </row>
    <row r="119" spans="1:22" x14ac:dyDescent="0.3">
      <c r="A119" t="s">
        <v>119</v>
      </c>
      <c r="B119" t="s">
        <v>120</v>
      </c>
      <c r="C119">
        <v>20</v>
      </c>
      <c r="D119" t="s">
        <v>22</v>
      </c>
      <c r="E119" t="s">
        <v>36</v>
      </c>
      <c r="F119" t="s">
        <v>37</v>
      </c>
      <c r="G119" t="s">
        <v>121</v>
      </c>
      <c r="H119" t="s">
        <v>26</v>
      </c>
      <c r="I119" t="s">
        <v>60</v>
      </c>
      <c r="J119" s="1">
        <v>45557.770833333336</v>
      </c>
      <c r="K119">
        <v>2</v>
      </c>
      <c r="L119" s="2">
        <v>1769</v>
      </c>
      <c r="M119" s="2">
        <v>3538</v>
      </c>
      <c r="N119" t="s">
        <v>68</v>
      </c>
      <c r="O119" t="s">
        <v>29</v>
      </c>
      <c r="P119" t="s">
        <v>54</v>
      </c>
      <c r="Q119" t="s">
        <v>31</v>
      </c>
      <c r="R119" t="s">
        <v>32</v>
      </c>
      <c r="S119">
        <v>9</v>
      </c>
      <c r="T119" s="1">
        <v>45619.770833333336</v>
      </c>
      <c r="U119" s="1" t="str">
        <f>TEXT(tblSales[[#This Row],[Purchase Date]],"yyyy-mm")</f>
        <v>2024-09</v>
      </c>
      <c r="V119" s="1" t="str">
        <f>IF(tblSales[[#This Row],[Age]]&lt;25,"18-24",IF(tblSales[[#This Row],[Age]]&lt;35,"25-34",IF(tblSales[[#This Row],[Age]]&lt;45,"35-44",IF(tblSales[[#This Row],[Age]]&lt;55,"45-54","55+"))))</f>
        <v>18-24</v>
      </c>
    </row>
    <row r="120" spans="1:22" x14ac:dyDescent="0.3">
      <c r="A120" t="s">
        <v>20</v>
      </c>
      <c r="B120" t="s">
        <v>21</v>
      </c>
      <c r="C120">
        <v>58</v>
      </c>
      <c r="D120" t="s">
        <v>22</v>
      </c>
      <c r="E120" t="s">
        <v>23</v>
      </c>
      <c r="F120" t="s">
        <v>24</v>
      </c>
      <c r="G120" t="s">
        <v>25</v>
      </c>
      <c r="H120" t="s">
        <v>73</v>
      </c>
      <c r="I120" t="s">
        <v>122</v>
      </c>
      <c r="J120" s="1">
        <v>45558.770833333336</v>
      </c>
      <c r="K120">
        <v>1</v>
      </c>
      <c r="L120" s="2">
        <v>1056</v>
      </c>
      <c r="M120" s="2">
        <v>1056</v>
      </c>
      <c r="N120" t="s">
        <v>99</v>
      </c>
      <c r="O120" t="s">
        <v>53</v>
      </c>
      <c r="P120" t="s">
        <v>30</v>
      </c>
      <c r="Q120" t="s">
        <v>31</v>
      </c>
      <c r="R120" t="s">
        <v>32</v>
      </c>
      <c r="S120">
        <v>12</v>
      </c>
      <c r="T120" s="1">
        <v>45653.770833333336</v>
      </c>
      <c r="U120" s="1" t="str">
        <f>TEXT(tblSales[[#This Row],[Purchase Date]],"yyyy-mm")</f>
        <v>2024-09</v>
      </c>
      <c r="V120" s="1" t="str">
        <f>IF(tblSales[[#This Row],[Age]]&lt;25,"18-24",IF(tblSales[[#This Row],[Age]]&lt;35,"25-34",IF(tblSales[[#This Row],[Age]]&lt;45,"35-44",IF(tblSales[[#This Row],[Age]]&lt;55,"45-54","55+"))))</f>
        <v>55+</v>
      </c>
    </row>
    <row r="121" spans="1:22" x14ac:dyDescent="0.3">
      <c r="A121" t="s">
        <v>107</v>
      </c>
      <c r="B121" t="s">
        <v>108</v>
      </c>
      <c r="C121">
        <v>60</v>
      </c>
      <c r="D121" t="s">
        <v>22</v>
      </c>
      <c r="E121" t="s">
        <v>105</v>
      </c>
      <c r="F121" t="s">
        <v>98</v>
      </c>
      <c r="G121" t="s">
        <v>50</v>
      </c>
      <c r="H121" t="s">
        <v>51</v>
      </c>
      <c r="I121" t="s">
        <v>79</v>
      </c>
      <c r="J121" s="1">
        <v>45560.770833333336</v>
      </c>
      <c r="K121">
        <v>1</v>
      </c>
      <c r="L121" s="2">
        <v>52907</v>
      </c>
      <c r="M121" s="2">
        <v>50261.65</v>
      </c>
      <c r="N121" t="s">
        <v>28</v>
      </c>
      <c r="O121" t="s">
        <v>42</v>
      </c>
      <c r="P121" t="s">
        <v>30</v>
      </c>
      <c r="Q121" t="s">
        <v>31</v>
      </c>
      <c r="R121" t="s">
        <v>45</v>
      </c>
      <c r="S121">
        <v>11</v>
      </c>
      <c r="T121" s="1">
        <v>45627.770833333336</v>
      </c>
      <c r="U121" s="1" t="str">
        <f>TEXT(tblSales[[#This Row],[Purchase Date]],"yyyy-mm")</f>
        <v>2024-09</v>
      </c>
      <c r="V121" s="1" t="str">
        <f>IF(tblSales[[#This Row],[Age]]&lt;25,"18-24",IF(tblSales[[#This Row],[Age]]&lt;35,"25-34",IF(tblSales[[#This Row],[Age]]&lt;45,"35-44",IF(tblSales[[#This Row],[Age]]&lt;55,"45-54","55+"))))</f>
        <v>55+</v>
      </c>
    </row>
    <row r="122" spans="1:22" x14ac:dyDescent="0.3">
      <c r="A122" t="s">
        <v>62</v>
      </c>
      <c r="B122" t="s">
        <v>63</v>
      </c>
      <c r="C122">
        <v>29</v>
      </c>
      <c r="D122" t="s">
        <v>35</v>
      </c>
      <c r="E122" t="s">
        <v>36</v>
      </c>
      <c r="F122" t="s">
        <v>37</v>
      </c>
      <c r="G122" t="s">
        <v>64</v>
      </c>
      <c r="H122" t="s">
        <v>26</v>
      </c>
      <c r="I122" t="s">
        <v>67</v>
      </c>
      <c r="J122" s="1">
        <v>45566.770833333336</v>
      </c>
      <c r="K122">
        <v>1</v>
      </c>
      <c r="L122" s="2">
        <v>2999</v>
      </c>
      <c r="M122" s="2">
        <v>2699.1</v>
      </c>
      <c r="N122" t="s">
        <v>28</v>
      </c>
      <c r="O122" t="s">
        <v>29</v>
      </c>
      <c r="P122" t="s">
        <v>43</v>
      </c>
      <c r="Q122" t="s">
        <v>44</v>
      </c>
      <c r="R122" t="s">
        <v>45</v>
      </c>
      <c r="S122">
        <v>3</v>
      </c>
      <c r="T122" s="1">
        <v>45581.770833333336</v>
      </c>
      <c r="U122" s="1" t="str">
        <f>TEXT(tblSales[[#This Row],[Purchase Date]],"yyyy-mm")</f>
        <v>2024-10</v>
      </c>
      <c r="V122" s="1" t="str">
        <f>IF(tblSales[[#This Row],[Age]]&lt;25,"18-24",IF(tblSales[[#This Row],[Age]]&lt;35,"25-34",IF(tblSales[[#This Row],[Age]]&lt;45,"35-44",IF(tblSales[[#This Row],[Age]]&lt;55,"45-54","55+"))))</f>
        <v>25-34</v>
      </c>
    </row>
    <row r="123" spans="1:22" x14ac:dyDescent="0.3">
      <c r="A123" t="s">
        <v>124</v>
      </c>
      <c r="B123" t="s">
        <v>125</v>
      </c>
      <c r="C123">
        <v>40</v>
      </c>
      <c r="D123" t="s">
        <v>35</v>
      </c>
      <c r="E123" t="s">
        <v>126</v>
      </c>
      <c r="F123" t="s">
        <v>37</v>
      </c>
      <c r="G123" t="s">
        <v>72</v>
      </c>
      <c r="H123" t="s">
        <v>51</v>
      </c>
      <c r="I123" t="s">
        <v>79</v>
      </c>
      <c r="J123" s="1">
        <v>45567.770833333336</v>
      </c>
      <c r="K123">
        <v>3</v>
      </c>
      <c r="L123" s="2">
        <v>38597</v>
      </c>
      <c r="M123" s="2">
        <v>104211.9</v>
      </c>
      <c r="N123" t="s">
        <v>28</v>
      </c>
      <c r="O123" t="s">
        <v>53</v>
      </c>
      <c r="P123" t="s">
        <v>54</v>
      </c>
      <c r="Q123" t="s">
        <v>44</v>
      </c>
      <c r="R123" t="s">
        <v>45</v>
      </c>
      <c r="S123">
        <v>4</v>
      </c>
      <c r="T123" s="1">
        <v>45634.770833333336</v>
      </c>
      <c r="U123" s="1" t="str">
        <f>TEXT(tblSales[[#This Row],[Purchase Date]],"yyyy-mm")</f>
        <v>2024-10</v>
      </c>
      <c r="V123" s="1" t="str">
        <f>IF(tblSales[[#This Row],[Age]]&lt;25,"18-24",IF(tblSales[[#This Row],[Age]]&lt;35,"25-34",IF(tblSales[[#This Row],[Age]]&lt;45,"35-44",IF(tblSales[[#This Row],[Age]]&lt;55,"45-54","55+"))))</f>
        <v>35-44</v>
      </c>
    </row>
    <row r="124" spans="1:22" x14ac:dyDescent="0.3">
      <c r="A124" t="s">
        <v>127</v>
      </c>
      <c r="B124" t="s">
        <v>128</v>
      </c>
      <c r="C124">
        <v>26</v>
      </c>
      <c r="D124" t="s">
        <v>35</v>
      </c>
      <c r="E124" t="s">
        <v>71</v>
      </c>
      <c r="F124" t="s">
        <v>24</v>
      </c>
      <c r="G124" t="s">
        <v>121</v>
      </c>
      <c r="H124" t="s">
        <v>26</v>
      </c>
      <c r="I124" t="s">
        <v>181</v>
      </c>
      <c r="J124" s="1">
        <v>45568.770833333336</v>
      </c>
      <c r="K124">
        <v>1</v>
      </c>
      <c r="L124" s="2">
        <v>5019</v>
      </c>
      <c r="M124" s="2">
        <v>5019</v>
      </c>
      <c r="N124" t="s">
        <v>28</v>
      </c>
      <c r="O124" t="s">
        <v>53</v>
      </c>
      <c r="P124" t="s">
        <v>43</v>
      </c>
      <c r="Q124" t="s">
        <v>44</v>
      </c>
      <c r="R124" t="s">
        <v>32</v>
      </c>
      <c r="S124">
        <v>4</v>
      </c>
      <c r="T124" s="1">
        <v>45568.770833333336</v>
      </c>
      <c r="U124" s="1" t="str">
        <f>TEXT(tblSales[[#This Row],[Purchase Date]],"yyyy-mm")</f>
        <v>2024-10</v>
      </c>
      <c r="V124" s="1" t="str">
        <f>IF(tblSales[[#This Row],[Age]]&lt;25,"18-24",IF(tblSales[[#This Row],[Age]]&lt;35,"25-34",IF(tblSales[[#This Row],[Age]]&lt;45,"35-44",IF(tblSales[[#This Row],[Age]]&lt;55,"45-54","55+"))))</f>
        <v>25-34</v>
      </c>
    </row>
    <row r="125" spans="1:22" x14ac:dyDescent="0.3">
      <c r="A125" t="s">
        <v>119</v>
      </c>
      <c r="B125" t="s">
        <v>120</v>
      </c>
      <c r="C125">
        <v>20</v>
      </c>
      <c r="D125" t="s">
        <v>22</v>
      </c>
      <c r="E125" t="s">
        <v>36</v>
      </c>
      <c r="F125" t="s">
        <v>37</v>
      </c>
      <c r="G125" t="s">
        <v>121</v>
      </c>
      <c r="H125" t="s">
        <v>26</v>
      </c>
      <c r="I125" t="s">
        <v>181</v>
      </c>
      <c r="J125" s="1">
        <v>45568.770833333336</v>
      </c>
      <c r="K125">
        <v>2</v>
      </c>
      <c r="L125" s="2">
        <v>5995</v>
      </c>
      <c r="M125" s="2">
        <v>9592</v>
      </c>
      <c r="N125" t="s">
        <v>99</v>
      </c>
      <c r="O125" t="s">
        <v>42</v>
      </c>
      <c r="P125" t="s">
        <v>54</v>
      </c>
      <c r="Q125" t="s">
        <v>31</v>
      </c>
      <c r="R125" t="s">
        <v>45</v>
      </c>
      <c r="S125">
        <v>9</v>
      </c>
      <c r="T125" s="1">
        <v>45619.770833333336</v>
      </c>
      <c r="U125" s="1" t="str">
        <f>TEXT(tblSales[[#This Row],[Purchase Date]],"yyyy-mm")</f>
        <v>2024-10</v>
      </c>
      <c r="V125" s="1" t="str">
        <f>IF(tblSales[[#This Row],[Age]]&lt;25,"18-24",IF(tblSales[[#This Row],[Age]]&lt;35,"25-34",IF(tblSales[[#This Row],[Age]]&lt;45,"35-44",IF(tblSales[[#This Row],[Age]]&lt;55,"45-54","55+"))))</f>
        <v>18-24</v>
      </c>
    </row>
    <row r="126" spans="1:22" x14ac:dyDescent="0.3">
      <c r="A126" t="s">
        <v>65</v>
      </c>
      <c r="B126" t="s">
        <v>66</v>
      </c>
      <c r="C126">
        <v>60</v>
      </c>
      <c r="D126" t="s">
        <v>22</v>
      </c>
      <c r="E126" t="s">
        <v>36</v>
      </c>
      <c r="F126" t="s">
        <v>37</v>
      </c>
      <c r="G126" t="s">
        <v>25</v>
      </c>
      <c r="H126" t="s">
        <v>26</v>
      </c>
      <c r="I126" t="s">
        <v>27</v>
      </c>
      <c r="J126" s="1">
        <v>45568.770833333336</v>
      </c>
      <c r="K126">
        <v>1</v>
      </c>
      <c r="L126" s="2">
        <v>1651</v>
      </c>
      <c r="M126" s="2">
        <v>1651</v>
      </c>
      <c r="N126" t="s">
        <v>68</v>
      </c>
      <c r="O126" t="s">
        <v>29</v>
      </c>
      <c r="P126" t="s">
        <v>43</v>
      </c>
      <c r="Q126" t="s">
        <v>31</v>
      </c>
      <c r="R126" t="s">
        <v>32</v>
      </c>
      <c r="S126">
        <v>6</v>
      </c>
      <c r="T126" s="1">
        <v>45619.770833333336</v>
      </c>
      <c r="U126" s="1" t="str">
        <f>TEXT(tblSales[[#This Row],[Purchase Date]],"yyyy-mm")</f>
        <v>2024-10</v>
      </c>
      <c r="V126" s="1" t="str">
        <f>IF(tblSales[[#This Row],[Age]]&lt;25,"18-24",IF(tblSales[[#This Row],[Age]]&lt;35,"25-34",IF(tblSales[[#This Row],[Age]]&lt;45,"35-44",IF(tblSales[[#This Row],[Age]]&lt;55,"45-54","55+"))))</f>
        <v>55+</v>
      </c>
    </row>
    <row r="127" spans="1:22" x14ac:dyDescent="0.3">
      <c r="A127" t="s">
        <v>175</v>
      </c>
      <c r="B127" t="s">
        <v>176</v>
      </c>
      <c r="C127">
        <v>56</v>
      </c>
      <c r="D127" t="s">
        <v>35</v>
      </c>
      <c r="E127" t="s">
        <v>86</v>
      </c>
      <c r="F127" t="s">
        <v>37</v>
      </c>
      <c r="G127" t="s">
        <v>78</v>
      </c>
      <c r="H127" t="s">
        <v>51</v>
      </c>
      <c r="I127" t="s">
        <v>123</v>
      </c>
      <c r="J127" s="1">
        <v>45569.770833333336</v>
      </c>
      <c r="K127">
        <v>1</v>
      </c>
      <c r="L127" s="2">
        <v>27294</v>
      </c>
      <c r="M127" s="2">
        <v>27294</v>
      </c>
      <c r="N127" t="s">
        <v>41</v>
      </c>
      <c r="O127" t="s">
        <v>29</v>
      </c>
      <c r="P127" t="s">
        <v>30</v>
      </c>
      <c r="Q127" t="s">
        <v>31</v>
      </c>
      <c r="R127" t="s">
        <v>32</v>
      </c>
      <c r="S127">
        <v>7</v>
      </c>
      <c r="T127" s="1">
        <v>45646.770833333336</v>
      </c>
      <c r="U127" s="1" t="str">
        <f>TEXT(tblSales[[#This Row],[Purchase Date]],"yyyy-mm")</f>
        <v>2024-10</v>
      </c>
      <c r="V127" s="1" t="str">
        <f>IF(tblSales[[#This Row],[Age]]&lt;25,"18-24",IF(tblSales[[#This Row],[Age]]&lt;35,"25-34",IF(tblSales[[#This Row],[Age]]&lt;45,"35-44",IF(tblSales[[#This Row],[Age]]&lt;55,"45-54","55+"))))</f>
        <v>55+</v>
      </c>
    </row>
    <row r="128" spans="1:22" x14ac:dyDescent="0.3">
      <c r="A128" t="s">
        <v>141</v>
      </c>
      <c r="B128" t="s">
        <v>116</v>
      </c>
      <c r="C128">
        <v>40</v>
      </c>
      <c r="D128" t="s">
        <v>35</v>
      </c>
      <c r="E128" t="s">
        <v>102</v>
      </c>
      <c r="F128" t="s">
        <v>98</v>
      </c>
      <c r="G128" t="s">
        <v>121</v>
      </c>
      <c r="H128" t="s">
        <v>93</v>
      </c>
      <c r="I128" t="s">
        <v>163</v>
      </c>
      <c r="J128" s="1">
        <v>45569.770833333336</v>
      </c>
      <c r="K128">
        <v>3</v>
      </c>
      <c r="L128" s="2">
        <v>3455</v>
      </c>
      <c r="M128" s="2">
        <v>8292</v>
      </c>
      <c r="N128" t="s">
        <v>68</v>
      </c>
      <c r="O128" t="s">
        <v>53</v>
      </c>
      <c r="P128" t="s">
        <v>54</v>
      </c>
      <c r="Q128" t="s">
        <v>44</v>
      </c>
      <c r="R128" t="s">
        <v>45</v>
      </c>
      <c r="S128">
        <v>3</v>
      </c>
      <c r="T128" s="1">
        <v>45637.770833333336</v>
      </c>
      <c r="U128" s="1" t="str">
        <f>TEXT(tblSales[[#This Row],[Purchase Date]],"yyyy-mm")</f>
        <v>2024-10</v>
      </c>
      <c r="V128" s="1" t="str">
        <f>IF(tblSales[[#This Row],[Age]]&lt;25,"18-24",IF(tblSales[[#This Row],[Age]]&lt;35,"25-34",IF(tblSales[[#This Row],[Age]]&lt;45,"35-44",IF(tblSales[[#This Row],[Age]]&lt;55,"45-54","55+"))))</f>
        <v>35-44</v>
      </c>
    </row>
    <row r="129" spans="1:22" x14ac:dyDescent="0.3">
      <c r="A129" t="s">
        <v>95</v>
      </c>
      <c r="B129" t="s">
        <v>96</v>
      </c>
      <c r="C129">
        <v>23</v>
      </c>
      <c r="D129" t="s">
        <v>35</v>
      </c>
      <c r="E129" t="s">
        <v>97</v>
      </c>
      <c r="F129" t="s">
        <v>98</v>
      </c>
      <c r="G129" t="s">
        <v>50</v>
      </c>
      <c r="H129" t="s">
        <v>51</v>
      </c>
      <c r="I129" t="s">
        <v>52</v>
      </c>
      <c r="J129" s="1">
        <v>45569.770833333336</v>
      </c>
      <c r="K129">
        <v>1</v>
      </c>
      <c r="L129" s="2">
        <v>5374</v>
      </c>
      <c r="M129" s="2">
        <v>5374</v>
      </c>
      <c r="N129" t="s">
        <v>99</v>
      </c>
      <c r="O129" t="s">
        <v>53</v>
      </c>
      <c r="P129" t="s">
        <v>43</v>
      </c>
      <c r="Q129" t="s">
        <v>31</v>
      </c>
      <c r="R129" t="s">
        <v>32</v>
      </c>
      <c r="S129">
        <v>8</v>
      </c>
      <c r="T129" s="1">
        <v>45569.770833333336</v>
      </c>
      <c r="U129" s="1" t="str">
        <f>TEXT(tblSales[[#This Row],[Purchase Date]],"yyyy-mm")</f>
        <v>2024-10</v>
      </c>
      <c r="V129" s="1" t="str">
        <f>IF(tblSales[[#This Row],[Age]]&lt;25,"18-24",IF(tblSales[[#This Row],[Age]]&lt;35,"25-34",IF(tblSales[[#This Row],[Age]]&lt;45,"35-44",IF(tblSales[[#This Row],[Age]]&lt;55,"45-54","55+"))))</f>
        <v>18-24</v>
      </c>
    </row>
    <row r="130" spans="1:22" x14ac:dyDescent="0.3">
      <c r="A130" t="s">
        <v>175</v>
      </c>
      <c r="B130" t="s">
        <v>176</v>
      </c>
      <c r="C130">
        <v>56</v>
      </c>
      <c r="D130" t="s">
        <v>35</v>
      </c>
      <c r="E130" t="s">
        <v>86</v>
      </c>
      <c r="F130" t="s">
        <v>37</v>
      </c>
      <c r="G130" t="s">
        <v>78</v>
      </c>
      <c r="H130" t="s">
        <v>39</v>
      </c>
      <c r="I130" t="s">
        <v>118</v>
      </c>
      <c r="J130" s="1">
        <v>45570.770833333336</v>
      </c>
      <c r="K130">
        <v>1</v>
      </c>
      <c r="L130" s="2">
        <v>3110</v>
      </c>
      <c r="M130" s="2">
        <v>2488</v>
      </c>
      <c r="N130" t="s">
        <v>68</v>
      </c>
      <c r="O130" t="s">
        <v>53</v>
      </c>
      <c r="P130" t="s">
        <v>30</v>
      </c>
      <c r="Q130" t="s">
        <v>31</v>
      </c>
      <c r="R130" t="s">
        <v>45</v>
      </c>
      <c r="S130">
        <v>7</v>
      </c>
      <c r="T130" s="1">
        <v>45646.770833333336</v>
      </c>
      <c r="U130" s="1" t="str">
        <f>TEXT(tblSales[[#This Row],[Purchase Date]],"yyyy-mm")</f>
        <v>2024-10</v>
      </c>
      <c r="V130" s="1" t="str">
        <f>IF(tblSales[[#This Row],[Age]]&lt;25,"18-24",IF(tblSales[[#This Row],[Age]]&lt;35,"25-34",IF(tblSales[[#This Row],[Age]]&lt;45,"35-44",IF(tblSales[[#This Row],[Age]]&lt;55,"45-54","55+"))))</f>
        <v>55+</v>
      </c>
    </row>
    <row r="131" spans="1:22" x14ac:dyDescent="0.3">
      <c r="A131" t="s">
        <v>185</v>
      </c>
      <c r="B131" t="s">
        <v>186</v>
      </c>
      <c r="C131">
        <v>25</v>
      </c>
      <c r="D131" t="s">
        <v>35</v>
      </c>
      <c r="E131" t="s">
        <v>117</v>
      </c>
      <c r="F131" t="s">
        <v>49</v>
      </c>
      <c r="G131" t="s">
        <v>72</v>
      </c>
      <c r="H131" t="s">
        <v>93</v>
      </c>
      <c r="I131" t="s">
        <v>149</v>
      </c>
      <c r="J131" s="1">
        <v>45570.770833333336</v>
      </c>
      <c r="K131">
        <v>2</v>
      </c>
      <c r="L131" s="2">
        <v>1888</v>
      </c>
      <c r="M131" s="2">
        <v>3776</v>
      </c>
      <c r="N131" t="s">
        <v>28</v>
      </c>
      <c r="O131" t="s">
        <v>42</v>
      </c>
      <c r="P131" t="s">
        <v>43</v>
      </c>
      <c r="Q131" t="s">
        <v>106</v>
      </c>
      <c r="R131" t="s">
        <v>32</v>
      </c>
      <c r="S131">
        <v>1</v>
      </c>
      <c r="T131" s="1">
        <v>45570.770833333336</v>
      </c>
      <c r="U131" s="1" t="str">
        <f>TEXT(tblSales[[#This Row],[Purchase Date]],"yyyy-mm")</f>
        <v>2024-10</v>
      </c>
      <c r="V131" s="1" t="str">
        <f>IF(tblSales[[#This Row],[Age]]&lt;25,"18-24",IF(tblSales[[#This Row],[Age]]&lt;35,"25-34",IF(tblSales[[#This Row],[Age]]&lt;45,"35-44",IF(tblSales[[#This Row],[Age]]&lt;55,"45-54","55+"))))</f>
        <v>25-34</v>
      </c>
    </row>
    <row r="132" spans="1:22" x14ac:dyDescent="0.3">
      <c r="A132" t="s">
        <v>142</v>
      </c>
      <c r="B132" t="s">
        <v>143</v>
      </c>
      <c r="C132">
        <v>23</v>
      </c>
      <c r="D132" t="s">
        <v>35</v>
      </c>
      <c r="E132" t="s">
        <v>77</v>
      </c>
      <c r="F132" t="s">
        <v>49</v>
      </c>
      <c r="G132" t="s">
        <v>58</v>
      </c>
      <c r="H132" t="s">
        <v>82</v>
      </c>
      <c r="I132" t="s">
        <v>109</v>
      </c>
      <c r="J132" s="1">
        <v>45571.770833333336</v>
      </c>
      <c r="K132">
        <v>2</v>
      </c>
      <c r="L132" s="2">
        <v>2765</v>
      </c>
      <c r="M132" s="2">
        <v>5530</v>
      </c>
      <c r="N132" t="s">
        <v>28</v>
      </c>
      <c r="O132" t="s">
        <v>53</v>
      </c>
      <c r="P132" t="s">
        <v>43</v>
      </c>
      <c r="Q132" t="s">
        <v>44</v>
      </c>
      <c r="R132" t="s">
        <v>32</v>
      </c>
      <c r="S132">
        <v>3</v>
      </c>
      <c r="T132" s="1">
        <v>45622.770833333336</v>
      </c>
      <c r="U132" s="1" t="str">
        <f>TEXT(tblSales[[#This Row],[Purchase Date]],"yyyy-mm")</f>
        <v>2024-10</v>
      </c>
      <c r="V132" s="1" t="str">
        <f>IF(tblSales[[#This Row],[Age]]&lt;25,"18-24",IF(tblSales[[#This Row],[Age]]&lt;35,"25-34",IF(tblSales[[#This Row],[Age]]&lt;45,"35-44",IF(tblSales[[#This Row],[Age]]&lt;55,"45-54","55+"))))</f>
        <v>18-24</v>
      </c>
    </row>
    <row r="133" spans="1:22" x14ac:dyDescent="0.3">
      <c r="A133" t="s">
        <v>100</v>
      </c>
      <c r="B133" t="s">
        <v>101</v>
      </c>
      <c r="C133">
        <v>26</v>
      </c>
      <c r="D133" t="s">
        <v>35</v>
      </c>
      <c r="E133" t="s">
        <v>102</v>
      </c>
      <c r="F133" t="s">
        <v>98</v>
      </c>
      <c r="G133" t="s">
        <v>50</v>
      </c>
      <c r="H133" t="s">
        <v>82</v>
      </c>
      <c r="I133" t="s">
        <v>174</v>
      </c>
      <c r="J133" s="1">
        <v>45571.770833333336</v>
      </c>
      <c r="K133">
        <v>2</v>
      </c>
      <c r="L133" s="2">
        <v>7189</v>
      </c>
      <c r="M133" s="2">
        <v>12940.2</v>
      </c>
      <c r="N133" t="s">
        <v>99</v>
      </c>
      <c r="O133" t="s">
        <v>42</v>
      </c>
      <c r="P133" t="s">
        <v>30</v>
      </c>
      <c r="Q133" t="s">
        <v>31</v>
      </c>
      <c r="R133" t="s">
        <v>45</v>
      </c>
      <c r="S133">
        <v>9</v>
      </c>
      <c r="T133" s="1">
        <v>45648.770833333336</v>
      </c>
      <c r="U133" s="1" t="str">
        <f>TEXT(tblSales[[#This Row],[Purchase Date]],"yyyy-mm")</f>
        <v>2024-10</v>
      </c>
      <c r="V133" s="1" t="str">
        <f>IF(tblSales[[#This Row],[Age]]&lt;25,"18-24",IF(tblSales[[#This Row],[Age]]&lt;35,"25-34",IF(tblSales[[#This Row],[Age]]&lt;45,"35-44",IF(tblSales[[#This Row],[Age]]&lt;55,"45-54","55+"))))</f>
        <v>25-34</v>
      </c>
    </row>
    <row r="134" spans="1:22" x14ac:dyDescent="0.3">
      <c r="A134" t="s">
        <v>154</v>
      </c>
      <c r="B134" t="s">
        <v>155</v>
      </c>
      <c r="C134">
        <v>21</v>
      </c>
      <c r="D134" t="s">
        <v>22</v>
      </c>
      <c r="E134" t="s">
        <v>48</v>
      </c>
      <c r="F134" t="s">
        <v>49</v>
      </c>
      <c r="G134" t="s">
        <v>78</v>
      </c>
      <c r="H134" t="s">
        <v>51</v>
      </c>
      <c r="I134" t="s">
        <v>59</v>
      </c>
      <c r="J134" s="1">
        <v>45571.770833333336</v>
      </c>
      <c r="K134">
        <v>1</v>
      </c>
      <c r="L134" s="2">
        <v>49924</v>
      </c>
      <c r="M134" s="2">
        <v>49924</v>
      </c>
      <c r="N134" t="s">
        <v>28</v>
      </c>
      <c r="O134" t="s">
        <v>53</v>
      </c>
      <c r="P134" t="s">
        <v>30</v>
      </c>
      <c r="Q134" t="s">
        <v>44</v>
      </c>
      <c r="R134" t="s">
        <v>32</v>
      </c>
      <c r="S134">
        <v>3</v>
      </c>
      <c r="T134" s="1">
        <v>45603.770833333336</v>
      </c>
      <c r="U134" s="1" t="str">
        <f>TEXT(tblSales[[#This Row],[Purchase Date]],"yyyy-mm")</f>
        <v>2024-10</v>
      </c>
      <c r="V134" s="1" t="str">
        <f>IF(tblSales[[#This Row],[Age]]&lt;25,"18-24",IF(tblSales[[#This Row],[Age]]&lt;35,"25-34",IF(tblSales[[#This Row],[Age]]&lt;45,"35-44",IF(tblSales[[#This Row],[Age]]&lt;55,"45-54","55+"))))</f>
        <v>18-24</v>
      </c>
    </row>
    <row r="135" spans="1:22" x14ac:dyDescent="0.3">
      <c r="A135" t="s">
        <v>75</v>
      </c>
      <c r="B135" t="s">
        <v>76</v>
      </c>
      <c r="C135">
        <v>60</v>
      </c>
      <c r="D135" t="s">
        <v>22</v>
      </c>
      <c r="E135" t="s">
        <v>77</v>
      </c>
      <c r="F135" t="s">
        <v>49</v>
      </c>
      <c r="G135" t="s">
        <v>78</v>
      </c>
      <c r="H135" t="s">
        <v>82</v>
      </c>
      <c r="I135" t="s">
        <v>109</v>
      </c>
      <c r="J135" s="1">
        <v>45574.770833333336</v>
      </c>
      <c r="K135">
        <v>1</v>
      </c>
      <c r="L135" s="2">
        <v>4568</v>
      </c>
      <c r="M135" s="2">
        <v>4111.2</v>
      </c>
      <c r="N135" t="s">
        <v>28</v>
      </c>
      <c r="O135" t="s">
        <v>42</v>
      </c>
      <c r="P135" t="s">
        <v>54</v>
      </c>
      <c r="Q135" t="s">
        <v>31</v>
      </c>
      <c r="R135" t="s">
        <v>45</v>
      </c>
      <c r="S135">
        <v>8</v>
      </c>
      <c r="T135" s="1">
        <v>45622.770833333336</v>
      </c>
      <c r="U135" s="1" t="str">
        <f>TEXT(tblSales[[#This Row],[Purchase Date]],"yyyy-mm")</f>
        <v>2024-10</v>
      </c>
      <c r="V135" s="1" t="str">
        <f>IF(tblSales[[#This Row],[Age]]&lt;25,"18-24",IF(tblSales[[#This Row],[Age]]&lt;35,"25-34",IF(tblSales[[#This Row],[Age]]&lt;45,"35-44",IF(tblSales[[#This Row],[Age]]&lt;55,"45-54","55+"))))</f>
        <v>55+</v>
      </c>
    </row>
    <row r="136" spans="1:22" x14ac:dyDescent="0.3">
      <c r="A136" t="s">
        <v>46</v>
      </c>
      <c r="B136" t="s">
        <v>47</v>
      </c>
      <c r="C136">
        <v>55</v>
      </c>
      <c r="D136" t="s">
        <v>35</v>
      </c>
      <c r="E136" t="s">
        <v>48</v>
      </c>
      <c r="F136" t="s">
        <v>49</v>
      </c>
      <c r="G136" t="s">
        <v>50</v>
      </c>
      <c r="H136" t="s">
        <v>51</v>
      </c>
      <c r="I136" t="s">
        <v>59</v>
      </c>
      <c r="J136" s="1">
        <v>45575.770833333336</v>
      </c>
      <c r="K136">
        <v>2</v>
      </c>
      <c r="L136" s="2">
        <v>12675</v>
      </c>
      <c r="M136" s="2">
        <v>25350</v>
      </c>
      <c r="N136" t="s">
        <v>61</v>
      </c>
      <c r="O136" t="s">
        <v>53</v>
      </c>
      <c r="P136" t="s">
        <v>54</v>
      </c>
      <c r="Q136" t="s">
        <v>31</v>
      </c>
      <c r="R136" t="s">
        <v>32</v>
      </c>
      <c r="S136">
        <v>16</v>
      </c>
      <c r="T136" s="1">
        <v>45646.770833333336</v>
      </c>
      <c r="U136" s="1" t="str">
        <f>TEXT(tblSales[[#This Row],[Purchase Date]],"yyyy-mm")</f>
        <v>2024-10</v>
      </c>
      <c r="V136" s="1" t="str">
        <f>IF(tblSales[[#This Row],[Age]]&lt;25,"18-24",IF(tblSales[[#This Row],[Age]]&lt;35,"25-34",IF(tblSales[[#This Row],[Age]]&lt;45,"35-44",IF(tblSales[[#This Row],[Age]]&lt;55,"45-54","55+"))))</f>
        <v>55+</v>
      </c>
    </row>
    <row r="137" spans="1:22" x14ac:dyDescent="0.3">
      <c r="A137" t="s">
        <v>187</v>
      </c>
      <c r="B137" t="s">
        <v>188</v>
      </c>
      <c r="C137">
        <v>32</v>
      </c>
      <c r="D137" t="s">
        <v>35</v>
      </c>
      <c r="E137" t="s">
        <v>77</v>
      </c>
      <c r="F137" t="s">
        <v>49</v>
      </c>
      <c r="G137" t="s">
        <v>64</v>
      </c>
      <c r="H137" t="s">
        <v>39</v>
      </c>
      <c r="I137" t="s">
        <v>129</v>
      </c>
      <c r="J137" s="1">
        <v>45576.770833333336</v>
      </c>
      <c r="K137">
        <v>2</v>
      </c>
      <c r="L137" s="2">
        <v>538</v>
      </c>
      <c r="M137" s="2">
        <v>914.6</v>
      </c>
      <c r="N137" t="s">
        <v>28</v>
      </c>
      <c r="O137" t="s">
        <v>29</v>
      </c>
      <c r="P137" t="s">
        <v>43</v>
      </c>
      <c r="Q137" t="s">
        <v>106</v>
      </c>
      <c r="R137" t="s">
        <v>45</v>
      </c>
      <c r="S137">
        <v>2</v>
      </c>
      <c r="T137" s="1">
        <v>45588.770833333336</v>
      </c>
      <c r="U137" s="1" t="str">
        <f>TEXT(tblSales[[#This Row],[Purchase Date]],"yyyy-mm")</f>
        <v>2024-10</v>
      </c>
      <c r="V137" s="1" t="str">
        <f>IF(tblSales[[#This Row],[Age]]&lt;25,"18-24",IF(tblSales[[#This Row],[Age]]&lt;35,"25-34",IF(tblSales[[#This Row],[Age]]&lt;45,"35-44",IF(tblSales[[#This Row],[Age]]&lt;55,"45-54","55+"))))</f>
        <v>25-34</v>
      </c>
    </row>
    <row r="138" spans="1:22" x14ac:dyDescent="0.3">
      <c r="A138" t="s">
        <v>164</v>
      </c>
      <c r="B138" t="s">
        <v>165</v>
      </c>
      <c r="C138">
        <v>63</v>
      </c>
      <c r="D138" t="s">
        <v>22</v>
      </c>
      <c r="E138" t="s">
        <v>126</v>
      </c>
      <c r="F138" t="s">
        <v>37</v>
      </c>
      <c r="G138" t="s">
        <v>166</v>
      </c>
      <c r="H138" t="s">
        <v>82</v>
      </c>
      <c r="I138" t="s">
        <v>114</v>
      </c>
      <c r="J138" s="1">
        <v>45577.770833333336</v>
      </c>
      <c r="K138">
        <v>1</v>
      </c>
      <c r="L138" s="2">
        <v>6236</v>
      </c>
      <c r="M138" s="2">
        <v>6236</v>
      </c>
      <c r="N138" t="s">
        <v>41</v>
      </c>
      <c r="O138" t="s">
        <v>53</v>
      </c>
      <c r="P138" t="s">
        <v>54</v>
      </c>
      <c r="Q138" t="s">
        <v>31</v>
      </c>
      <c r="R138" t="s">
        <v>32</v>
      </c>
      <c r="S138">
        <v>7</v>
      </c>
      <c r="T138" s="1">
        <v>45639.770833333336</v>
      </c>
      <c r="U138" s="1" t="str">
        <f>TEXT(tblSales[[#This Row],[Purchase Date]],"yyyy-mm")</f>
        <v>2024-10</v>
      </c>
      <c r="V138" s="1" t="str">
        <f>IF(tblSales[[#This Row],[Age]]&lt;25,"18-24",IF(tblSales[[#This Row],[Age]]&lt;35,"25-34",IF(tblSales[[#This Row],[Age]]&lt;45,"35-44",IF(tblSales[[#This Row],[Age]]&lt;55,"45-54","55+"))))</f>
        <v>55+</v>
      </c>
    </row>
    <row r="139" spans="1:22" x14ac:dyDescent="0.3">
      <c r="A139" t="s">
        <v>138</v>
      </c>
      <c r="B139" t="s">
        <v>139</v>
      </c>
      <c r="C139">
        <v>60</v>
      </c>
      <c r="D139" t="s">
        <v>35</v>
      </c>
      <c r="E139" t="s">
        <v>105</v>
      </c>
      <c r="F139" t="s">
        <v>98</v>
      </c>
      <c r="G139" t="s">
        <v>72</v>
      </c>
      <c r="H139" t="s">
        <v>82</v>
      </c>
      <c r="I139" t="s">
        <v>114</v>
      </c>
      <c r="J139" s="1">
        <v>45578.770833333336</v>
      </c>
      <c r="K139">
        <v>3</v>
      </c>
      <c r="L139" s="2">
        <v>6452</v>
      </c>
      <c r="M139" s="2">
        <v>19356</v>
      </c>
      <c r="N139" t="s">
        <v>41</v>
      </c>
      <c r="O139" t="s">
        <v>29</v>
      </c>
      <c r="P139" t="s">
        <v>43</v>
      </c>
      <c r="Q139" t="s">
        <v>31</v>
      </c>
      <c r="R139" t="s">
        <v>32</v>
      </c>
      <c r="S139">
        <v>5</v>
      </c>
      <c r="T139" s="1">
        <v>45628.770833333336</v>
      </c>
      <c r="U139" s="1" t="str">
        <f>TEXT(tblSales[[#This Row],[Purchase Date]],"yyyy-mm")</f>
        <v>2024-10</v>
      </c>
      <c r="V139" s="1" t="str">
        <f>IF(tblSales[[#This Row],[Age]]&lt;25,"18-24",IF(tblSales[[#This Row],[Age]]&lt;35,"25-34",IF(tblSales[[#This Row],[Age]]&lt;45,"35-44",IF(tblSales[[#This Row],[Age]]&lt;55,"45-54","55+"))))</f>
        <v>55+</v>
      </c>
    </row>
    <row r="140" spans="1:22" x14ac:dyDescent="0.3">
      <c r="A140" t="s">
        <v>65</v>
      </c>
      <c r="B140" t="s">
        <v>66</v>
      </c>
      <c r="C140">
        <v>60</v>
      </c>
      <c r="D140" t="s">
        <v>22</v>
      </c>
      <c r="E140" t="s">
        <v>36</v>
      </c>
      <c r="F140" t="s">
        <v>37</v>
      </c>
      <c r="G140" t="s">
        <v>25</v>
      </c>
      <c r="H140" t="s">
        <v>82</v>
      </c>
      <c r="I140" t="s">
        <v>109</v>
      </c>
      <c r="J140" s="1">
        <v>45579.770833333336</v>
      </c>
      <c r="K140">
        <v>1</v>
      </c>
      <c r="L140" s="2">
        <v>1626</v>
      </c>
      <c r="M140" s="2">
        <v>1626</v>
      </c>
      <c r="N140" t="s">
        <v>28</v>
      </c>
      <c r="O140" t="s">
        <v>53</v>
      </c>
      <c r="P140" t="s">
        <v>43</v>
      </c>
      <c r="Q140" t="s">
        <v>31</v>
      </c>
      <c r="R140" t="s">
        <v>32</v>
      </c>
      <c r="S140">
        <v>6</v>
      </c>
      <c r="T140" s="1">
        <v>45619.770833333336</v>
      </c>
      <c r="U140" s="1" t="str">
        <f>TEXT(tblSales[[#This Row],[Purchase Date]],"yyyy-mm")</f>
        <v>2024-10</v>
      </c>
      <c r="V140" s="1" t="str">
        <f>IF(tblSales[[#This Row],[Age]]&lt;25,"18-24",IF(tblSales[[#This Row],[Age]]&lt;35,"25-34",IF(tblSales[[#This Row],[Age]]&lt;45,"35-44",IF(tblSales[[#This Row],[Age]]&lt;55,"45-54","55+"))))</f>
        <v>55+</v>
      </c>
    </row>
    <row r="141" spans="1:22" x14ac:dyDescent="0.3">
      <c r="A141" t="s">
        <v>62</v>
      </c>
      <c r="B141" t="s">
        <v>63</v>
      </c>
      <c r="C141">
        <v>29</v>
      </c>
      <c r="D141" t="s">
        <v>35</v>
      </c>
      <c r="E141" t="s">
        <v>36</v>
      </c>
      <c r="F141" t="s">
        <v>37</v>
      </c>
      <c r="G141" t="s">
        <v>64</v>
      </c>
      <c r="H141" t="s">
        <v>39</v>
      </c>
      <c r="I141" t="s">
        <v>87</v>
      </c>
      <c r="J141" s="1">
        <v>45581.770833333336</v>
      </c>
      <c r="K141">
        <v>2</v>
      </c>
      <c r="L141" s="2">
        <v>2741</v>
      </c>
      <c r="M141" s="2">
        <v>5482</v>
      </c>
      <c r="N141" t="s">
        <v>61</v>
      </c>
      <c r="O141" t="s">
        <v>53</v>
      </c>
      <c r="P141" t="s">
        <v>43</v>
      </c>
      <c r="Q141" t="s">
        <v>44</v>
      </c>
      <c r="R141" t="s">
        <v>32</v>
      </c>
      <c r="S141">
        <v>3</v>
      </c>
      <c r="T141" s="1">
        <v>45581.770833333336</v>
      </c>
      <c r="U141" s="1" t="str">
        <f>TEXT(tblSales[[#This Row],[Purchase Date]],"yyyy-mm")</f>
        <v>2024-10</v>
      </c>
      <c r="V141" s="1" t="str">
        <f>IF(tblSales[[#This Row],[Age]]&lt;25,"18-24",IF(tblSales[[#This Row],[Age]]&lt;35,"25-34",IF(tblSales[[#This Row],[Age]]&lt;45,"35-44",IF(tblSales[[#This Row],[Age]]&lt;55,"45-54","55+"))))</f>
        <v>25-34</v>
      </c>
    </row>
    <row r="142" spans="1:22" x14ac:dyDescent="0.3">
      <c r="A142" t="s">
        <v>20</v>
      </c>
      <c r="B142" t="s">
        <v>21</v>
      </c>
      <c r="C142">
        <v>58</v>
      </c>
      <c r="D142" t="s">
        <v>22</v>
      </c>
      <c r="E142" t="s">
        <v>23</v>
      </c>
      <c r="F142" t="s">
        <v>24</v>
      </c>
      <c r="G142" t="s">
        <v>25</v>
      </c>
      <c r="H142" t="s">
        <v>93</v>
      </c>
      <c r="I142" t="s">
        <v>182</v>
      </c>
      <c r="J142" s="1">
        <v>45581.770833333336</v>
      </c>
      <c r="K142">
        <v>2</v>
      </c>
      <c r="L142" s="2">
        <v>648</v>
      </c>
      <c r="M142" s="2">
        <v>1296</v>
      </c>
      <c r="N142" t="s">
        <v>68</v>
      </c>
      <c r="O142" t="s">
        <v>53</v>
      </c>
      <c r="P142" t="s">
        <v>30</v>
      </c>
      <c r="Q142" t="s">
        <v>31</v>
      </c>
      <c r="R142" t="s">
        <v>32</v>
      </c>
      <c r="S142">
        <v>12</v>
      </c>
      <c r="T142" s="1">
        <v>45653.770833333336</v>
      </c>
      <c r="U142" s="1" t="str">
        <f>TEXT(tblSales[[#This Row],[Purchase Date]],"yyyy-mm")</f>
        <v>2024-10</v>
      </c>
      <c r="V142" s="1" t="str">
        <f>IF(tblSales[[#This Row],[Age]]&lt;25,"18-24",IF(tblSales[[#This Row],[Age]]&lt;35,"25-34",IF(tblSales[[#This Row],[Age]]&lt;45,"35-44",IF(tblSales[[#This Row],[Age]]&lt;55,"45-54","55+"))))</f>
        <v>55+</v>
      </c>
    </row>
    <row r="143" spans="1:22" x14ac:dyDescent="0.3">
      <c r="A143" t="s">
        <v>138</v>
      </c>
      <c r="B143" t="s">
        <v>139</v>
      </c>
      <c r="C143">
        <v>60</v>
      </c>
      <c r="D143" t="s">
        <v>35</v>
      </c>
      <c r="E143" t="s">
        <v>105</v>
      </c>
      <c r="F143" t="s">
        <v>98</v>
      </c>
      <c r="G143" t="s">
        <v>72</v>
      </c>
      <c r="H143" t="s">
        <v>73</v>
      </c>
      <c r="I143" t="s">
        <v>74</v>
      </c>
      <c r="J143" s="1">
        <v>45583.770833333336</v>
      </c>
      <c r="K143">
        <v>3</v>
      </c>
      <c r="L143" s="2">
        <v>2311</v>
      </c>
      <c r="M143" s="2">
        <v>5546.4</v>
      </c>
      <c r="N143" t="s">
        <v>28</v>
      </c>
      <c r="O143" t="s">
        <v>53</v>
      </c>
      <c r="P143" t="s">
        <v>43</v>
      </c>
      <c r="Q143" t="s">
        <v>31</v>
      </c>
      <c r="R143" t="s">
        <v>45</v>
      </c>
      <c r="S143">
        <v>5</v>
      </c>
      <c r="T143" s="1">
        <v>45628.770833333336</v>
      </c>
      <c r="U143" s="1" t="str">
        <f>TEXT(tblSales[[#This Row],[Purchase Date]],"yyyy-mm")</f>
        <v>2024-10</v>
      </c>
      <c r="V143" s="1" t="str">
        <f>IF(tblSales[[#This Row],[Age]]&lt;25,"18-24",IF(tblSales[[#This Row],[Age]]&lt;35,"25-34",IF(tblSales[[#This Row],[Age]]&lt;45,"35-44",IF(tblSales[[#This Row],[Age]]&lt;55,"45-54","55+"))))</f>
        <v>55+</v>
      </c>
    </row>
    <row r="144" spans="1:22" x14ac:dyDescent="0.3">
      <c r="A144" t="s">
        <v>80</v>
      </c>
      <c r="B144" t="s">
        <v>81</v>
      </c>
      <c r="C144">
        <v>48</v>
      </c>
      <c r="D144" t="s">
        <v>22</v>
      </c>
      <c r="E144" t="s">
        <v>57</v>
      </c>
      <c r="F144" t="s">
        <v>37</v>
      </c>
      <c r="G144" t="s">
        <v>25</v>
      </c>
      <c r="H144" t="s">
        <v>93</v>
      </c>
      <c r="I144" t="s">
        <v>149</v>
      </c>
      <c r="J144" s="1">
        <v>45584.770833333336</v>
      </c>
      <c r="K144">
        <v>2</v>
      </c>
      <c r="L144" s="2">
        <v>2068</v>
      </c>
      <c r="M144" s="2">
        <v>3308.8</v>
      </c>
      <c r="N144" t="s">
        <v>28</v>
      </c>
      <c r="O144" t="s">
        <v>42</v>
      </c>
      <c r="P144" t="s">
        <v>43</v>
      </c>
      <c r="Q144" t="s">
        <v>31</v>
      </c>
      <c r="R144" t="s">
        <v>45</v>
      </c>
      <c r="S144">
        <v>5</v>
      </c>
      <c r="T144" s="1">
        <v>45584.770833333336</v>
      </c>
      <c r="U144" s="1" t="str">
        <f>TEXT(tblSales[[#This Row],[Purchase Date]],"yyyy-mm")</f>
        <v>2024-10</v>
      </c>
      <c r="V144" s="1" t="str">
        <f>IF(tblSales[[#This Row],[Age]]&lt;25,"18-24",IF(tblSales[[#This Row],[Age]]&lt;35,"25-34",IF(tblSales[[#This Row],[Age]]&lt;45,"35-44",IF(tblSales[[#This Row],[Age]]&lt;55,"45-54","55+"))))</f>
        <v>45-54</v>
      </c>
    </row>
    <row r="145" spans="1:22" x14ac:dyDescent="0.3">
      <c r="A145" t="s">
        <v>84</v>
      </c>
      <c r="B145" t="s">
        <v>85</v>
      </c>
      <c r="C145">
        <v>55</v>
      </c>
      <c r="D145" t="s">
        <v>35</v>
      </c>
      <c r="E145" t="s">
        <v>86</v>
      </c>
      <c r="F145" t="s">
        <v>37</v>
      </c>
      <c r="G145" t="s">
        <v>50</v>
      </c>
      <c r="H145" t="s">
        <v>39</v>
      </c>
      <c r="I145" t="s">
        <v>40</v>
      </c>
      <c r="J145" s="1">
        <v>45584.770833333336</v>
      </c>
      <c r="K145">
        <v>1</v>
      </c>
      <c r="L145" s="2">
        <v>4552</v>
      </c>
      <c r="M145" s="2">
        <v>3869.2</v>
      </c>
      <c r="N145" t="s">
        <v>41</v>
      </c>
      <c r="O145" t="s">
        <v>42</v>
      </c>
      <c r="P145" t="s">
        <v>43</v>
      </c>
      <c r="Q145" t="s">
        <v>31</v>
      </c>
      <c r="R145" t="s">
        <v>45</v>
      </c>
      <c r="S145">
        <v>5</v>
      </c>
      <c r="T145" s="1">
        <v>45584.770833333336</v>
      </c>
      <c r="U145" s="1" t="str">
        <f>TEXT(tblSales[[#This Row],[Purchase Date]],"yyyy-mm")</f>
        <v>2024-10</v>
      </c>
      <c r="V145" s="1" t="str">
        <f>IF(tblSales[[#This Row],[Age]]&lt;25,"18-24",IF(tblSales[[#This Row],[Age]]&lt;35,"25-34",IF(tblSales[[#This Row],[Age]]&lt;45,"35-44",IF(tblSales[[#This Row],[Age]]&lt;55,"45-54","55+"))))</f>
        <v>55+</v>
      </c>
    </row>
    <row r="146" spans="1:22" x14ac:dyDescent="0.3">
      <c r="A146" t="s">
        <v>107</v>
      </c>
      <c r="B146" t="s">
        <v>108</v>
      </c>
      <c r="C146">
        <v>60</v>
      </c>
      <c r="D146" t="s">
        <v>22</v>
      </c>
      <c r="E146" t="s">
        <v>105</v>
      </c>
      <c r="F146" t="s">
        <v>98</v>
      </c>
      <c r="G146" t="s">
        <v>50</v>
      </c>
      <c r="H146" t="s">
        <v>82</v>
      </c>
      <c r="I146" t="s">
        <v>83</v>
      </c>
      <c r="J146" s="1">
        <v>45585.770833333336</v>
      </c>
      <c r="K146">
        <v>2</v>
      </c>
      <c r="L146" s="2">
        <v>5134</v>
      </c>
      <c r="M146" s="2">
        <v>8214.4</v>
      </c>
      <c r="N146" t="s">
        <v>68</v>
      </c>
      <c r="O146" t="s">
        <v>53</v>
      </c>
      <c r="P146" t="s">
        <v>30</v>
      </c>
      <c r="Q146" t="s">
        <v>31</v>
      </c>
      <c r="R146" t="s">
        <v>45</v>
      </c>
      <c r="S146">
        <v>11</v>
      </c>
      <c r="T146" s="1">
        <v>45627.770833333336</v>
      </c>
      <c r="U146" s="1" t="str">
        <f>TEXT(tblSales[[#This Row],[Purchase Date]],"yyyy-mm")</f>
        <v>2024-10</v>
      </c>
      <c r="V146" s="1" t="str">
        <f>IF(tblSales[[#This Row],[Age]]&lt;25,"18-24",IF(tblSales[[#This Row],[Age]]&lt;35,"25-34",IF(tblSales[[#This Row],[Age]]&lt;45,"35-44",IF(tblSales[[#This Row],[Age]]&lt;55,"45-54","55+"))))</f>
        <v>55+</v>
      </c>
    </row>
    <row r="147" spans="1:22" x14ac:dyDescent="0.3">
      <c r="A147" t="s">
        <v>119</v>
      </c>
      <c r="B147" t="s">
        <v>120</v>
      </c>
      <c r="C147">
        <v>20</v>
      </c>
      <c r="D147" t="s">
        <v>22</v>
      </c>
      <c r="E147" t="s">
        <v>36</v>
      </c>
      <c r="F147" t="s">
        <v>37</v>
      </c>
      <c r="G147" t="s">
        <v>121</v>
      </c>
      <c r="H147" t="s">
        <v>93</v>
      </c>
      <c r="I147" t="s">
        <v>149</v>
      </c>
      <c r="J147" s="1">
        <v>45585.770833333336</v>
      </c>
      <c r="K147">
        <v>1</v>
      </c>
      <c r="L147" s="2">
        <v>1748</v>
      </c>
      <c r="M147" s="2">
        <v>1748</v>
      </c>
      <c r="N147" t="s">
        <v>41</v>
      </c>
      <c r="O147" t="s">
        <v>29</v>
      </c>
      <c r="P147" t="s">
        <v>54</v>
      </c>
      <c r="Q147" t="s">
        <v>31</v>
      </c>
      <c r="R147" t="s">
        <v>32</v>
      </c>
      <c r="S147">
        <v>9</v>
      </c>
      <c r="T147" s="1">
        <v>45619.770833333336</v>
      </c>
      <c r="U147" s="1" t="str">
        <f>TEXT(tblSales[[#This Row],[Purchase Date]],"yyyy-mm")</f>
        <v>2024-10</v>
      </c>
      <c r="V147" s="1" t="str">
        <f>IF(tblSales[[#This Row],[Age]]&lt;25,"18-24",IF(tblSales[[#This Row],[Age]]&lt;35,"25-34",IF(tblSales[[#This Row],[Age]]&lt;45,"35-44",IF(tblSales[[#This Row],[Age]]&lt;55,"45-54","55+"))))</f>
        <v>18-24</v>
      </c>
    </row>
    <row r="148" spans="1:22" x14ac:dyDescent="0.3">
      <c r="A148" t="s">
        <v>20</v>
      </c>
      <c r="B148" t="s">
        <v>21</v>
      </c>
      <c r="C148">
        <v>58</v>
      </c>
      <c r="D148" t="s">
        <v>22</v>
      </c>
      <c r="E148" t="s">
        <v>23</v>
      </c>
      <c r="F148" t="s">
        <v>24</v>
      </c>
      <c r="G148" t="s">
        <v>25</v>
      </c>
      <c r="H148" t="s">
        <v>82</v>
      </c>
      <c r="I148" t="s">
        <v>109</v>
      </c>
      <c r="J148" s="1">
        <v>45587.770833333336</v>
      </c>
      <c r="K148">
        <v>2</v>
      </c>
      <c r="L148" s="2">
        <v>3201</v>
      </c>
      <c r="M148" s="2">
        <v>6081.9</v>
      </c>
      <c r="N148" t="s">
        <v>68</v>
      </c>
      <c r="O148" t="s">
        <v>53</v>
      </c>
      <c r="P148" t="s">
        <v>30</v>
      </c>
      <c r="Q148" t="s">
        <v>31</v>
      </c>
      <c r="R148" t="s">
        <v>45</v>
      </c>
      <c r="S148">
        <v>12</v>
      </c>
      <c r="T148" s="1">
        <v>45653.770833333336</v>
      </c>
      <c r="U148" s="1" t="str">
        <f>TEXT(tblSales[[#This Row],[Purchase Date]],"yyyy-mm")</f>
        <v>2024-10</v>
      </c>
      <c r="V148" s="1" t="str">
        <f>IF(tblSales[[#This Row],[Age]]&lt;25,"18-24",IF(tblSales[[#This Row],[Age]]&lt;35,"25-34",IF(tblSales[[#This Row],[Age]]&lt;45,"35-44",IF(tblSales[[#This Row],[Age]]&lt;55,"45-54","55+"))))</f>
        <v>55+</v>
      </c>
    </row>
    <row r="149" spans="1:22" x14ac:dyDescent="0.3">
      <c r="A149" t="s">
        <v>187</v>
      </c>
      <c r="B149" t="s">
        <v>188</v>
      </c>
      <c r="C149">
        <v>32</v>
      </c>
      <c r="D149" t="s">
        <v>35</v>
      </c>
      <c r="E149" t="s">
        <v>77</v>
      </c>
      <c r="F149" t="s">
        <v>49</v>
      </c>
      <c r="G149" t="s">
        <v>64</v>
      </c>
      <c r="H149" t="s">
        <v>93</v>
      </c>
      <c r="I149" t="s">
        <v>94</v>
      </c>
      <c r="J149" s="1">
        <v>45588.770833333336</v>
      </c>
      <c r="K149">
        <v>1</v>
      </c>
      <c r="L149" s="2">
        <v>3341</v>
      </c>
      <c r="M149" s="2">
        <v>3341</v>
      </c>
      <c r="N149" t="s">
        <v>41</v>
      </c>
      <c r="O149" t="s">
        <v>42</v>
      </c>
      <c r="P149" t="s">
        <v>43</v>
      </c>
      <c r="Q149" t="s">
        <v>106</v>
      </c>
      <c r="R149" t="s">
        <v>32</v>
      </c>
      <c r="S149">
        <v>2</v>
      </c>
      <c r="T149" s="1">
        <v>45588.770833333336</v>
      </c>
      <c r="U149" s="1" t="str">
        <f>TEXT(tblSales[[#This Row],[Purchase Date]],"yyyy-mm")</f>
        <v>2024-10</v>
      </c>
      <c r="V149" s="1" t="str">
        <f>IF(tblSales[[#This Row],[Age]]&lt;25,"18-24",IF(tblSales[[#This Row],[Age]]&lt;35,"25-34",IF(tblSales[[#This Row],[Age]]&lt;45,"35-44",IF(tblSales[[#This Row],[Age]]&lt;55,"45-54","55+"))))</f>
        <v>25-34</v>
      </c>
    </row>
    <row r="150" spans="1:22" x14ac:dyDescent="0.3">
      <c r="A150" t="s">
        <v>88</v>
      </c>
      <c r="B150" t="s">
        <v>89</v>
      </c>
      <c r="C150">
        <v>48</v>
      </c>
      <c r="D150" t="s">
        <v>35</v>
      </c>
      <c r="E150" t="s">
        <v>48</v>
      </c>
      <c r="F150" t="s">
        <v>49</v>
      </c>
      <c r="G150" t="s">
        <v>64</v>
      </c>
      <c r="H150" t="s">
        <v>51</v>
      </c>
      <c r="I150" t="s">
        <v>59</v>
      </c>
      <c r="J150" s="1">
        <v>45590.770833333336</v>
      </c>
      <c r="K150">
        <v>1</v>
      </c>
      <c r="L150" s="2">
        <v>35257</v>
      </c>
      <c r="M150" s="2">
        <v>35257</v>
      </c>
      <c r="N150" t="s">
        <v>61</v>
      </c>
      <c r="O150" t="s">
        <v>42</v>
      </c>
      <c r="P150" t="s">
        <v>30</v>
      </c>
      <c r="Q150" t="s">
        <v>44</v>
      </c>
      <c r="R150" t="s">
        <v>32</v>
      </c>
      <c r="S150">
        <v>4</v>
      </c>
      <c r="T150" s="1">
        <v>45643.770833333336</v>
      </c>
      <c r="U150" s="1" t="str">
        <f>TEXT(tblSales[[#This Row],[Purchase Date]],"yyyy-mm")</f>
        <v>2024-10</v>
      </c>
      <c r="V150" s="1" t="str">
        <f>IF(tblSales[[#This Row],[Age]]&lt;25,"18-24",IF(tblSales[[#This Row],[Age]]&lt;35,"25-34",IF(tblSales[[#This Row],[Age]]&lt;45,"35-44",IF(tblSales[[#This Row],[Age]]&lt;55,"45-54","55+"))))</f>
        <v>45-54</v>
      </c>
    </row>
    <row r="151" spans="1:22" x14ac:dyDescent="0.3">
      <c r="A151" t="s">
        <v>189</v>
      </c>
      <c r="B151" t="s">
        <v>190</v>
      </c>
      <c r="C151">
        <v>39</v>
      </c>
      <c r="D151" t="s">
        <v>22</v>
      </c>
      <c r="E151" t="s">
        <v>77</v>
      </c>
      <c r="F151" t="s">
        <v>49</v>
      </c>
      <c r="G151" t="s">
        <v>136</v>
      </c>
      <c r="H151" t="s">
        <v>51</v>
      </c>
      <c r="I151" t="s">
        <v>123</v>
      </c>
      <c r="J151" s="1">
        <v>45599.770833333336</v>
      </c>
      <c r="K151">
        <v>1</v>
      </c>
      <c r="L151" s="2">
        <v>54787</v>
      </c>
      <c r="M151" s="2">
        <v>54787</v>
      </c>
      <c r="N151" t="s">
        <v>28</v>
      </c>
      <c r="O151" t="s">
        <v>53</v>
      </c>
      <c r="P151" t="s">
        <v>30</v>
      </c>
      <c r="Q151" t="s">
        <v>106</v>
      </c>
      <c r="R151" t="s">
        <v>32</v>
      </c>
      <c r="S151">
        <v>1</v>
      </c>
      <c r="T151" s="1">
        <v>45599.770833333336</v>
      </c>
      <c r="U151" s="1" t="str">
        <f>TEXT(tblSales[[#This Row],[Purchase Date]],"yyyy-mm")</f>
        <v>2024-11</v>
      </c>
      <c r="V151" s="1" t="str">
        <f>IF(tblSales[[#This Row],[Age]]&lt;25,"18-24",IF(tblSales[[#This Row],[Age]]&lt;35,"25-34",IF(tblSales[[#This Row],[Age]]&lt;45,"35-44",IF(tblSales[[#This Row],[Age]]&lt;55,"45-54","55+"))))</f>
        <v>35-44</v>
      </c>
    </row>
    <row r="152" spans="1:22" x14ac:dyDescent="0.3">
      <c r="A152" t="s">
        <v>167</v>
      </c>
      <c r="B152" t="s">
        <v>168</v>
      </c>
      <c r="C152">
        <v>26</v>
      </c>
      <c r="D152" t="s">
        <v>22</v>
      </c>
      <c r="E152" t="s">
        <v>48</v>
      </c>
      <c r="F152" t="s">
        <v>49</v>
      </c>
      <c r="G152" t="s">
        <v>58</v>
      </c>
      <c r="H152" t="s">
        <v>39</v>
      </c>
      <c r="I152" t="s">
        <v>40</v>
      </c>
      <c r="J152" s="1">
        <v>45599.770833333336</v>
      </c>
      <c r="K152">
        <v>3</v>
      </c>
      <c r="L152" s="2">
        <v>1131</v>
      </c>
      <c r="M152" s="2">
        <v>3393</v>
      </c>
      <c r="N152" t="s">
        <v>41</v>
      </c>
      <c r="O152" t="s">
        <v>29</v>
      </c>
      <c r="P152" t="s">
        <v>30</v>
      </c>
      <c r="Q152" t="s">
        <v>44</v>
      </c>
      <c r="R152" t="s">
        <v>32</v>
      </c>
      <c r="S152">
        <v>3</v>
      </c>
      <c r="T152" s="1">
        <v>45599.770833333336</v>
      </c>
      <c r="U152" s="1" t="str">
        <f>TEXT(tblSales[[#This Row],[Purchase Date]],"yyyy-mm")</f>
        <v>2024-11</v>
      </c>
      <c r="V152" s="1" t="str">
        <f>IF(tblSales[[#This Row],[Age]]&lt;25,"18-24",IF(tblSales[[#This Row],[Age]]&lt;35,"25-34",IF(tblSales[[#This Row],[Age]]&lt;45,"35-44",IF(tblSales[[#This Row],[Age]]&lt;55,"45-54","55+"))))</f>
        <v>25-34</v>
      </c>
    </row>
    <row r="153" spans="1:22" x14ac:dyDescent="0.3">
      <c r="A153" t="s">
        <v>107</v>
      </c>
      <c r="B153" t="s">
        <v>108</v>
      </c>
      <c r="C153">
        <v>60</v>
      </c>
      <c r="D153" t="s">
        <v>22</v>
      </c>
      <c r="E153" t="s">
        <v>105</v>
      </c>
      <c r="F153" t="s">
        <v>98</v>
      </c>
      <c r="G153" t="s">
        <v>50</v>
      </c>
      <c r="H153" t="s">
        <v>39</v>
      </c>
      <c r="I153" t="s">
        <v>40</v>
      </c>
      <c r="J153" s="1">
        <v>45600.770833333336</v>
      </c>
      <c r="K153">
        <v>1</v>
      </c>
      <c r="L153" s="2">
        <v>4261</v>
      </c>
      <c r="M153" s="2">
        <v>4047.95</v>
      </c>
      <c r="N153" t="s">
        <v>41</v>
      </c>
      <c r="O153" t="s">
        <v>53</v>
      </c>
      <c r="P153" t="s">
        <v>30</v>
      </c>
      <c r="Q153" t="s">
        <v>31</v>
      </c>
      <c r="R153" t="s">
        <v>45</v>
      </c>
      <c r="S153">
        <v>11</v>
      </c>
      <c r="T153" s="1">
        <v>45627.770833333336</v>
      </c>
      <c r="U153" s="1" t="str">
        <f>TEXT(tblSales[[#This Row],[Purchase Date]],"yyyy-mm")</f>
        <v>2024-11</v>
      </c>
      <c r="V153" s="1" t="str">
        <f>IF(tblSales[[#This Row],[Age]]&lt;25,"18-24",IF(tblSales[[#This Row],[Age]]&lt;35,"25-34",IF(tblSales[[#This Row],[Age]]&lt;45,"35-44",IF(tblSales[[#This Row],[Age]]&lt;55,"45-54","55+"))))</f>
        <v>55+</v>
      </c>
    </row>
    <row r="154" spans="1:22" x14ac:dyDescent="0.3">
      <c r="A154" t="s">
        <v>175</v>
      </c>
      <c r="B154" t="s">
        <v>176</v>
      </c>
      <c r="C154">
        <v>56</v>
      </c>
      <c r="D154" t="s">
        <v>35</v>
      </c>
      <c r="E154" t="s">
        <v>86</v>
      </c>
      <c r="F154" t="s">
        <v>37</v>
      </c>
      <c r="G154" t="s">
        <v>78</v>
      </c>
      <c r="H154" t="s">
        <v>39</v>
      </c>
      <c r="I154" t="s">
        <v>118</v>
      </c>
      <c r="J154" s="1">
        <v>45602.770833333336</v>
      </c>
      <c r="K154">
        <v>1</v>
      </c>
      <c r="L154" s="2">
        <v>2017</v>
      </c>
      <c r="M154" s="2">
        <v>1714.45</v>
      </c>
      <c r="N154" t="s">
        <v>68</v>
      </c>
      <c r="O154" t="s">
        <v>42</v>
      </c>
      <c r="P154" t="s">
        <v>30</v>
      </c>
      <c r="Q154" t="s">
        <v>31</v>
      </c>
      <c r="R154" t="s">
        <v>45</v>
      </c>
      <c r="S154">
        <v>7</v>
      </c>
      <c r="T154" s="1">
        <v>45646.770833333336</v>
      </c>
      <c r="U154" s="1" t="str">
        <f>TEXT(tblSales[[#This Row],[Purchase Date]],"yyyy-mm")</f>
        <v>2024-11</v>
      </c>
      <c r="V154" s="1" t="str">
        <f>IF(tblSales[[#This Row],[Age]]&lt;25,"18-24",IF(tblSales[[#This Row],[Age]]&lt;35,"25-34",IF(tblSales[[#This Row],[Age]]&lt;45,"35-44",IF(tblSales[[#This Row],[Age]]&lt;55,"45-54","55+"))))</f>
        <v>55+</v>
      </c>
    </row>
    <row r="155" spans="1:22" x14ac:dyDescent="0.3">
      <c r="A155" t="s">
        <v>191</v>
      </c>
      <c r="B155" t="s">
        <v>192</v>
      </c>
      <c r="C155">
        <v>23</v>
      </c>
      <c r="D155" t="s">
        <v>22</v>
      </c>
      <c r="E155" t="s">
        <v>158</v>
      </c>
      <c r="F155" t="s">
        <v>24</v>
      </c>
      <c r="G155" t="s">
        <v>72</v>
      </c>
      <c r="H155" t="s">
        <v>73</v>
      </c>
      <c r="I155" t="s">
        <v>90</v>
      </c>
      <c r="J155" s="1">
        <v>45602.770833333336</v>
      </c>
      <c r="K155">
        <v>1</v>
      </c>
      <c r="L155" s="2">
        <v>1124</v>
      </c>
      <c r="M155" s="2">
        <v>1011.6</v>
      </c>
      <c r="N155" t="s">
        <v>28</v>
      </c>
      <c r="O155" t="s">
        <v>29</v>
      </c>
      <c r="P155" t="s">
        <v>43</v>
      </c>
      <c r="Q155" t="s">
        <v>106</v>
      </c>
      <c r="R155" t="s">
        <v>45</v>
      </c>
      <c r="S155">
        <v>1</v>
      </c>
      <c r="T155" s="1">
        <v>45602.770833333336</v>
      </c>
      <c r="U155" s="1" t="str">
        <f>TEXT(tblSales[[#This Row],[Purchase Date]],"yyyy-mm")</f>
        <v>2024-11</v>
      </c>
      <c r="V155" s="1" t="str">
        <f>IF(tblSales[[#This Row],[Age]]&lt;25,"18-24",IF(tblSales[[#This Row],[Age]]&lt;35,"25-34",IF(tblSales[[#This Row],[Age]]&lt;45,"35-44",IF(tblSales[[#This Row],[Age]]&lt;55,"45-54","55+"))))</f>
        <v>18-24</v>
      </c>
    </row>
    <row r="156" spans="1:22" x14ac:dyDescent="0.3">
      <c r="A156" t="s">
        <v>75</v>
      </c>
      <c r="B156" t="s">
        <v>76</v>
      </c>
      <c r="C156">
        <v>60</v>
      </c>
      <c r="D156" t="s">
        <v>22</v>
      </c>
      <c r="E156" t="s">
        <v>77</v>
      </c>
      <c r="F156" t="s">
        <v>49</v>
      </c>
      <c r="G156" t="s">
        <v>78</v>
      </c>
      <c r="H156" t="s">
        <v>26</v>
      </c>
      <c r="I156" t="s">
        <v>67</v>
      </c>
      <c r="J156" s="1">
        <v>45602.770833333336</v>
      </c>
      <c r="K156">
        <v>1</v>
      </c>
      <c r="L156" s="2">
        <v>5146</v>
      </c>
      <c r="M156" s="2">
        <v>5146</v>
      </c>
      <c r="N156" t="s">
        <v>41</v>
      </c>
      <c r="O156" t="s">
        <v>53</v>
      </c>
      <c r="P156" t="s">
        <v>54</v>
      </c>
      <c r="Q156" t="s">
        <v>31</v>
      </c>
      <c r="R156" t="s">
        <v>32</v>
      </c>
      <c r="S156">
        <v>8</v>
      </c>
      <c r="T156" s="1">
        <v>45622.770833333336</v>
      </c>
      <c r="U156" s="1" t="str">
        <f>TEXT(tblSales[[#This Row],[Purchase Date]],"yyyy-mm")</f>
        <v>2024-11</v>
      </c>
      <c r="V156" s="1" t="str">
        <f>IF(tblSales[[#This Row],[Age]]&lt;25,"18-24",IF(tblSales[[#This Row],[Age]]&lt;35,"25-34",IF(tblSales[[#This Row],[Age]]&lt;45,"35-44",IF(tblSales[[#This Row],[Age]]&lt;55,"45-54","55+"))))</f>
        <v>55+</v>
      </c>
    </row>
    <row r="157" spans="1:22" x14ac:dyDescent="0.3">
      <c r="A157" t="s">
        <v>175</v>
      </c>
      <c r="B157" t="s">
        <v>176</v>
      </c>
      <c r="C157">
        <v>56</v>
      </c>
      <c r="D157" t="s">
        <v>35</v>
      </c>
      <c r="E157" t="s">
        <v>86</v>
      </c>
      <c r="F157" t="s">
        <v>37</v>
      </c>
      <c r="G157" t="s">
        <v>78</v>
      </c>
      <c r="H157" t="s">
        <v>39</v>
      </c>
      <c r="I157" t="s">
        <v>144</v>
      </c>
      <c r="J157" s="1">
        <v>45603.770833333336</v>
      </c>
      <c r="K157">
        <v>1</v>
      </c>
      <c r="L157" s="2">
        <v>3671</v>
      </c>
      <c r="M157" s="2">
        <v>3671</v>
      </c>
      <c r="N157" t="s">
        <v>28</v>
      </c>
      <c r="O157" t="s">
        <v>53</v>
      </c>
      <c r="P157" t="s">
        <v>30</v>
      </c>
      <c r="Q157" t="s">
        <v>31</v>
      </c>
      <c r="R157" t="s">
        <v>32</v>
      </c>
      <c r="S157">
        <v>7</v>
      </c>
      <c r="T157" s="1">
        <v>45646.770833333336</v>
      </c>
      <c r="U157" s="1" t="str">
        <f>TEXT(tblSales[[#This Row],[Purchase Date]],"yyyy-mm")</f>
        <v>2024-11</v>
      </c>
      <c r="V157" s="1" t="str">
        <f>IF(tblSales[[#This Row],[Age]]&lt;25,"18-24",IF(tblSales[[#This Row],[Age]]&lt;35,"25-34",IF(tblSales[[#This Row],[Age]]&lt;45,"35-44",IF(tblSales[[#This Row],[Age]]&lt;55,"45-54","55+"))))</f>
        <v>55+</v>
      </c>
    </row>
    <row r="158" spans="1:22" x14ac:dyDescent="0.3">
      <c r="A158" t="s">
        <v>154</v>
      </c>
      <c r="B158" t="s">
        <v>155</v>
      </c>
      <c r="C158">
        <v>21</v>
      </c>
      <c r="D158" t="s">
        <v>22</v>
      </c>
      <c r="E158" t="s">
        <v>48</v>
      </c>
      <c r="F158" t="s">
        <v>49</v>
      </c>
      <c r="G158" t="s">
        <v>78</v>
      </c>
      <c r="H158" t="s">
        <v>93</v>
      </c>
      <c r="I158" t="s">
        <v>163</v>
      </c>
      <c r="J158" s="1">
        <v>45603.770833333336</v>
      </c>
      <c r="K158">
        <v>3</v>
      </c>
      <c r="L158" s="2">
        <v>2318</v>
      </c>
      <c r="M158" s="2">
        <v>5910.9</v>
      </c>
      <c r="N158" t="s">
        <v>99</v>
      </c>
      <c r="O158" t="s">
        <v>42</v>
      </c>
      <c r="P158" t="s">
        <v>30</v>
      </c>
      <c r="Q158" t="s">
        <v>44</v>
      </c>
      <c r="R158" t="s">
        <v>45</v>
      </c>
      <c r="S158">
        <v>3</v>
      </c>
      <c r="T158" s="1">
        <v>45603.770833333336</v>
      </c>
      <c r="U158" s="1" t="str">
        <f>TEXT(tblSales[[#This Row],[Purchase Date]],"yyyy-mm")</f>
        <v>2024-11</v>
      </c>
      <c r="V158" s="1" t="str">
        <f>IF(tblSales[[#This Row],[Age]]&lt;25,"18-24",IF(tblSales[[#This Row],[Age]]&lt;35,"25-34",IF(tblSales[[#This Row],[Age]]&lt;45,"35-44",IF(tblSales[[#This Row],[Age]]&lt;55,"45-54","55+"))))</f>
        <v>18-24</v>
      </c>
    </row>
    <row r="159" spans="1:22" x14ac:dyDescent="0.3">
      <c r="A159" t="s">
        <v>134</v>
      </c>
      <c r="B159" t="s">
        <v>135</v>
      </c>
      <c r="C159">
        <v>57</v>
      </c>
      <c r="D159" t="s">
        <v>22</v>
      </c>
      <c r="E159" t="s">
        <v>23</v>
      </c>
      <c r="F159" t="s">
        <v>24</v>
      </c>
      <c r="G159" t="s">
        <v>136</v>
      </c>
      <c r="H159" t="s">
        <v>26</v>
      </c>
      <c r="I159" t="s">
        <v>67</v>
      </c>
      <c r="J159" s="1">
        <v>45607.770833333336</v>
      </c>
      <c r="K159">
        <v>3</v>
      </c>
      <c r="L159" s="2">
        <v>3090</v>
      </c>
      <c r="M159" s="2">
        <v>9270</v>
      </c>
      <c r="N159" t="s">
        <v>68</v>
      </c>
      <c r="O159" t="s">
        <v>53</v>
      </c>
      <c r="P159" t="s">
        <v>43</v>
      </c>
      <c r="Q159" t="s">
        <v>44</v>
      </c>
      <c r="R159" t="s">
        <v>32</v>
      </c>
      <c r="S159">
        <v>3</v>
      </c>
      <c r="T159" s="1">
        <v>45607.770833333336</v>
      </c>
      <c r="U159" s="1" t="str">
        <f>TEXT(tblSales[[#This Row],[Purchase Date]],"yyyy-mm")</f>
        <v>2024-11</v>
      </c>
      <c r="V159" s="1" t="str">
        <f>IF(tblSales[[#This Row],[Age]]&lt;25,"18-24",IF(tblSales[[#This Row],[Age]]&lt;35,"25-34",IF(tblSales[[#This Row],[Age]]&lt;45,"35-44",IF(tblSales[[#This Row],[Age]]&lt;55,"45-54","55+"))))</f>
        <v>55+</v>
      </c>
    </row>
    <row r="160" spans="1:22" x14ac:dyDescent="0.3">
      <c r="A160" t="s">
        <v>33</v>
      </c>
      <c r="B160" t="s">
        <v>34</v>
      </c>
      <c r="C160">
        <v>62</v>
      </c>
      <c r="D160" t="s">
        <v>35</v>
      </c>
      <c r="E160" t="s">
        <v>36</v>
      </c>
      <c r="F160" t="s">
        <v>37</v>
      </c>
      <c r="G160" t="s">
        <v>38</v>
      </c>
      <c r="H160" t="s">
        <v>26</v>
      </c>
      <c r="I160" t="s">
        <v>181</v>
      </c>
      <c r="J160" s="1">
        <v>45607.770833333336</v>
      </c>
      <c r="K160">
        <v>2</v>
      </c>
      <c r="L160" s="2">
        <v>716</v>
      </c>
      <c r="M160" s="2">
        <v>1217.2</v>
      </c>
      <c r="N160" t="s">
        <v>68</v>
      </c>
      <c r="O160" t="s">
        <v>42</v>
      </c>
      <c r="P160" t="s">
        <v>43</v>
      </c>
      <c r="Q160" t="s">
        <v>44</v>
      </c>
      <c r="R160" t="s">
        <v>45</v>
      </c>
      <c r="S160">
        <v>4</v>
      </c>
      <c r="T160" s="1">
        <v>45607.770833333336</v>
      </c>
      <c r="U160" s="1" t="str">
        <f>TEXT(tblSales[[#This Row],[Purchase Date]],"yyyy-mm")</f>
        <v>2024-11</v>
      </c>
      <c r="V160" s="1" t="str">
        <f>IF(tblSales[[#This Row],[Age]]&lt;25,"18-24",IF(tblSales[[#This Row],[Age]]&lt;35,"25-34",IF(tblSales[[#This Row],[Age]]&lt;45,"35-44",IF(tblSales[[#This Row],[Age]]&lt;55,"45-54","55+"))))</f>
        <v>55+</v>
      </c>
    </row>
    <row r="161" spans="1:22" x14ac:dyDescent="0.3">
      <c r="A161" t="s">
        <v>88</v>
      </c>
      <c r="B161" t="s">
        <v>89</v>
      </c>
      <c r="C161">
        <v>48</v>
      </c>
      <c r="D161" t="s">
        <v>35</v>
      </c>
      <c r="E161" t="s">
        <v>48</v>
      </c>
      <c r="F161" t="s">
        <v>49</v>
      </c>
      <c r="G161" t="s">
        <v>64</v>
      </c>
      <c r="H161" t="s">
        <v>26</v>
      </c>
      <c r="I161" t="s">
        <v>27</v>
      </c>
      <c r="J161" s="1">
        <v>45608.770833333336</v>
      </c>
      <c r="K161">
        <v>1</v>
      </c>
      <c r="L161" s="2">
        <v>5294</v>
      </c>
      <c r="M161" s="2">
        <v>5294</v>
      </c>
      <c r="N161" t="s">
        <v>41</v>
      </c>
      <c r="O161" t="s">
        <v>53</v>
      </c>
      <c r="P161" t="s">
        <v>30</v>
      </c>
      <c r="Q161" t="s">
        <v>44</v>
      </c>
      <c r="R161" t="s">
        <v>32</v>
      </c>
      <c r="S161">
        <v>4</v>
      </c>
      <c r="T161" s="1">
        <v>45643.770833333336</v>
      </c>
      <c r="U161" s="1" t="str">
        <f>TEXT(tblSales[[#This Row],[Purchase Date]],"yyyy-mm")</f>
        <v>2024-11</v>
      </c>
      <c r="V161" s="1" t="str">
        <f>IF(tblSales[[#This Row],[Age]]&lt;25,"18-24",IF(tblSales[[#This Row],[Age]]&lt;35,"25-34",IF(tblSales[[#This Row],[Age]]&lt;45,"35-44",IF(tblSales[[#This Row],[Age]]&lt;55,"45-54","55+"))))</f>
        <v>45-54</v>
      </c>
    </row>
    <row r="162" spans="1:22" x14ac:dyDescent="0.3">
      <c r="A162" t="s">
        <v>152</v>
      </c>
      <c r="B162" t="s">
        <v>153</v>
      </c>
      <c r="C162">
        <v>63</v>
      </c>
      <c r="D162" t="s">
        <v>22</v>
      </c>
      <c r="E162" t="s">
        <v>97</v>
      </c>
      <c r="F162" t="s">
        <v>98</v>
      </c>
      <c r="G162" t="s">
        <v>78</v>
      </c>
      <c r="H162" t="s">
        <v>39</v>
      </c>
      <c r="I162" t="s">
        <v>40</v>
      </c>
      <c r="J162" s="1">
        <v>45608.770833333336</v>
      </c>
      <c r="K162">
        <v>1</v>
      </c>
      <c r="L162" s="2">
        <v>637</v>
      </c>
      <c r="M162" s="2">
        <v>637</v>
      </c>
      <c r="N162" t="s">
        <v>61</v>
      </c>
      <c r="O162" t="s">
        <v>53</v>
      </c>
      <c r="P162" t="s">
        <v>43</v>
      </c>
      <c r="Q162" t="s">
        <v>31</v>
      </c>
      <c r="R162" t="s">
        <v>32</v>
      </c>
      <c r="S162">
        <v>5</v>
      </c>
      <c r="T162" s="1">
        <v>45649.770833333336</v>
      </c>
      <c r="U162" s="1" t="str">
        <f>TEXT(tblSales[[#This Row],[Purchase Date]],"yyyy-mm")</f>
        <v>2024-11</v>
      </c>
      <c r="V162" s="1" t="str">
        <f>IF(tblSales[[#This Row],[Age]]&lt;25,"18-24",IF(tblSales[[#This Row],[Age]]&lt;35,"25-34",IF(tblSales[[#This Row],[Age]]&lt;45,"35-44",IF(tblSales[[#This Row],[Age]]&lt;55,"45-54","55+"))))</f>
        <v>55+</v>
      </c>
    </row>
    <row r="163" spans="1:22" x14ac:dyDescent="0.3">
      <c r="A163" t="s">
        <v>145</v>
      </c>
      <c r="B163" t="s">
        <v>146</v>
      </c>
      <c r="C163">
        <v>25</v>
      </c>
      <c r="D163" t="s">
        <v>22</v>
      </c>
      <c r="E163" t="s">
        <v>23</v>
      </c>
      <c r="F163" t="s">
        <v>24</v>
      </c>
      <c r="G163" t="s">
        <v>72</v>
      </c>
      <c r="H163" t="s">
        <v>82</v>
      </c>
      <c r="I163" t="s">
        <v>109</v>
      </c>
      <c r="J163" s="1">
        <v>45609.770833333336</v>
      </c>
      <c r="K163">
        <v>1</v>
      </c>
      <c r="L163" s="2">
        <v>7469</v>
      </c>
      <c r="M163" s="2">
        <v>6722.1</v>
      </c>
      <c r="N163" t="s">
        <v>41</v>
      </c>
      <c r="O163" t="s">
        <v>53</v>
      </c>
      <c r="P163" t="s">
        <v>43</v>
      </c>
      <c r="Q163" t="s">
        <v>44</v>
      </c>
      <c r="R163" t="s">
        <v>45</v>
      </c>
      <c r="S163">
        <v>3</v>
      </c>
      <c r="T163" s="1">
        <v>45609.770833333336</v>
      </c>
      <c r="U163" s="1" t="str">
        <f>TEXT(tblSales[[#This Row],[Purchase Date]],"yyyy-mm")</f>
        <v>2024-11</v>
      </c>
      <c r="V163" s="1" t="str">
        <f>IF(tblSales[[#This Row],[Age]]&lt;25,"18-24",IF(tblSales[[#This Row],[Age]]&lt;35,"25-34",IF(tblSales[[#This Row],[Age]]&lt;45,"35-44",IF(tblSales[[#This Row],[Age]]&lt;55,"45-54","55+"))))</f>
        <v>25-34</v>
      </c>
    </row>
    <row r="164" spans="1:22" x14ac:dyDescent="0.3">
      <c r="A164" t="s">
        <v>175</v>
      </c>
      <c r="B164" t="s">
        <v>176</v>
      </c>
      <c r="C164">
        <v>56</v>
      </c>
      <c r="D164" t="s">
        <v>35</v>
      </c>
      <c r="E164" t="s">
        <v>86</v>
      </c>
      <c r="F164" t="s">
        <v>37</v>
      </c>
      <c r="G164" t="s">
        <v>78</v>
      </c>
      <c r="H164" t="s">
        <v>82</v>
      </c>
      <c r="I164" t="s">
        <v>114</v>
      </c>
      <c r="J164" s="1">
        <v>45611.770833333336</v>
      </c>
      <c r="K164">
        <v>3</v>
      </c>
      <c r="L164" s="2">
        <v>2852</v>
      </c>
      <c r="M164" s="2">
        <v>8128.2</v>
      </c>
      <c r="N164" t="s">
        <v>28</v>
      </c>
      <c r="O164" t="s">
        <v>42</v>
      </c>
      <c r="P164" t="s">
        <v>30</v>
      </c>
      <c r="Q164" t="s">
        <v>31</v>
      </c>
      <c r="R164" t="s">
        <v>45</v>
      </c>
      <c r="S164">
        <v>7</v>
      </c>
      <c r="T164" s="1">
        <v>45646.770833333336</v>
      </c>
      <c r="U164" s="1" t="str">
        <f>TEXT(tblSales[[#This Row],[Purchase Date]],"yyyy-mm")</f>
        <v>2024-11</v>
      </c>
      <c r="V164" s="1" t="str">
        <f>IF(tblSales[[#This Row],[Age]]&lt;25,"18-24",IF(tblSales[[#This Row],[Age]]&lt;35,"25-34",IF(tblSales[[#This Row],[Age]]&lt;45,"35-44",IF(tblSales[[#This Row],[Age]]&lt;55,"45-54","55+"))))</f>
        <v>55+</v>
      </c>
    </row>
    <row r="165" spans="1:22" x14ac:dyDescent="0.3">
      <c r="A165" t="s">
        <v>75</v>
      </c>
      <c r="B165" t="s">
        <v>76</v>
      </c>
      <c r="C165">
        <v>60</v>
      </c>
      <c r="D165" t="s">
        <v>22</v>
      </c>
      <c r="E165" t="s">
        <v>77</v>
      </c>
      <c r="F165" t="s">
        <v>49</v>
      </c>
      <c r="G165" t="s">
        <v>78</v>
      </c>
      <c r="H165" t="s">
        <v>51</v>
      </c>
      <c r="I165" t="s">
        <v>123</v>
      </c>
      <c r="J165" s="1">
        <v>45612.770833333336</v>
      </c>
      <c r="K165">
        <v>1</v>
      </c>
      <c r="L165" s="2">
        <v>32868</v>
      </c>
      <c r="M165" s="2">
        <v>32868</v>
      </c>
      <c r="N165" t="s">
        <v>41</v>
      </c>
      <c r="O165" t="s">
        <v>42</v>
      </c>
      <c r="P165" t="s">
        <v>54</v>
      </c>
      <c r="Q165" t="s">
        <v>31</v>
      </c>
      <c r="R165" t="s">
        <v>32</v>
      </c>
      <c r="S165">
        <v>8</v>
      </c>
      <c r="T165" s="1">
        <v>45622.770833333336</v>
      </c>
      <c r="U165" s="1" t="str">
        <f>TEXT(tblSales[[#This Row],[Purchase Date]],"yyyy-mm")</f>
        <v>2024-11</v>
      </c>
      <c r="V165" s="1" t="str">
        <f>IF(tblSales[[#This Row],[Age]]&lt;25,"18-24",IF(tblSales[[#This Row],[Age]]&lt;35,"25-34",IF(tblSales[[#This Row],[Age]]&lt;45,"35-44",IF(tblSales[[#This Row],[Age]]&lt;55,"45-54","55+"))))</f>
        <v>55+</v>
      </c>
    </row>
    <row r="166" spans="1:22" x14ac:dyDescent="0.3">
      <c r="A166" t="s">
        <v>172</v>
      </c>
      <c r="B166" t="s">
        <v>173</v>
      </c>
      <c r="C166">
        <v>31</v>
      </c>
      <c r="D166" t="s">
        <v>35</v>
      </c>
      <c r="E166" t="s">
        <v>23</v>
      </c>
      <c r="F166" t="s">
        <v>24</v>
      </c>
      <c r="G166" t="s">
        <v>166</v>
      </c>
      <c r="H166" t="s">
        <v>39</v>
      </c>
      <c r="I166" t="s">
        <v>40</v>
      </c>
      <c r="J166" s="1">
        <v>45612.770833333336</v>
      </c>
      <c r="K166">
        <v>2</v>
      </c>
      <c r="L166" s="2">
        <v>700</v>
      </c>
      <c r="M166" s="2">
        <v>1400</v>
      </c>
      <c r="N166" t="s">
        <v>41</v>
      </c>
      <c r="O166" t="s">
        <v>53</v>
      </c>
      <c r="P166" t="s">
        <v>43</v>
      </c>
      <c r="Q166" t="s">
        <v>44</v>
      </c>
      <c r="R166" t="s">
        <v>32</v>
      </c>
      <c r="S166">
        <v>3</v>
      </c>
      <c r="T166" s="1">
        <v>45638.770833333336</v>
      </c>
      <c r="U166" s="1" t="str">
        <f>TEXT(tblSales[[#This Row],[Purchase Date]],"yyyy-mm")</f>
        <v>2024-11</v>
      </c>
      <c r="V166" s="1" t="str">
        <f>IF(tblSales[[#This Row],[Age]]&lt;25,"18-24",IF(tblSales[[#This Row],[Age]]&lt;35,"25-34",IF(tblSales[[#This Row],[Age]]&lt;45,"35-44",IF(tblSales[[#This Row],[Age]]&lt;55,"45-54","55+"))))</f>
        <v>25-34</v>
      </c>
    </row>
    <row r="167" spans="1:22" x14ac:dyDescent="0.3">
      <c r="A167" t="s">
        <v>46</v>
      </c>
      <c r="B167" t="s">
        <v>47</v>
      </c>
      <c r="C167">
        <v>55</v>
      </c>
      <c r="D167" t="s">
        <v>35</v>
      </c>
      <c r="E167" t="s">
        <v>48</v>
      </c>
      <c r="F167" t="s">
        <v>49</v>
      </c>
      <c r="G167" t="s">
        <v>50</v>
      </c>
      <c r="H167" t="s">
        <v>82</v>
      </c>
      <c r="I167" t="s">
        <v>83</v>
      </c>
      <c r="J167" s="1">
        <v>45613.770833333336</v>
      </c>
      <c r="K167">
        <v>1</v>
      </c>
      <c r="L167" s="2">
        <v>7176</v>
      </c>
      <c r="M167" s="2">
        <v>6817.2</v>
      </c>
      <c r="N167" t="s">
        <v>99</v>
      </c>
      <c r="O167" t="s">
        <v>53</v>
      </c>
      <c r="P167" t="s">
        <v>54</v>
      </c>
      <c r="Q167" t="s">
        <v>31</v>
      </c>
      <c r="R167" t="s">
        <v>45</v>
      </c>
      <c r="S167">
        <v>16</v>
      </c>
      <c r="T167" s="1">
        <v>45646.770833333336</v>
      </c>
      <c r="U167" s="1" t="str">
        <f>TEXT(tblSales[[#This Row],[Purchase Date]],"yyyy-mm")</f>
        <v>2024-11</v>
      </c>
      <c r="V167" s="1" t="str">
        <f>IF(tblSales[[#This Row],[Age]]&lt;25,"18-24",IF(tblSales[[#This Row],[Age]]&lt;35,"25-34",IF(tblSales[[#This Row],[Age]]&lt;45,"35-44",IF(tblSales[[#This Row],[Age]]&lt;55,"45-54","55+"))))</f>
        <v>55+</v>
      </c>
    </row>
    <row r="168" spans="1:22" x14ac:dyDescent="0.3">
      <c r="A168" t="s">
        <v>20</v>
      </c>
      <c r="B168" t="s">
        <v>21</v>
      </c>
      <c r="C168">
        <v>58</v>
      </c>
      <c r="D168" t="s">
        <v>22</v>
      </c>
      <c r="E168" t="s">
        <v>23</v>
      </c>
      <c r="F168" t="s">
        <v>24</v>
      </c>
      <c r="G168" t="s">
        <v>25</v>
      </c>
      <c r="H168" t="s">
        <v>82</v>
      </c>
      <c r="I168" t="s">
        <v>174</v>
      </c>
      <c r="J168" s="1">
        <v>45615.770833333336</v>
      </c>
      <c r="K168">
        <v>3</v>
      </c>
      <c r="L168" s="2">
        <v>434</v>
      </c>
      <c r="M168" s="2">
        <v>1302</v>
      </c>
      <c r="N168" t="s">
        <v>28</v>
      </c>
      <c r="O168" t="s">
        <v>42</v>
      </c>
      <c r="P168" t="s">
        <v>30</v>
      </c>
      <c r="Q168" t="s">
        <v>31</v>
      </c>
      <c r="R168" t="s">
        <v>32</v>
      </c>
      <c r="S168">
        <v>12</v>
      </c>
      <c r="T168" s="1">
        <v>45653.770833333336</v>
      </c>
      <c r="U168" s="1" t="str">
        <f>TEXT(tblSales[[#This Row],[Purchase Date]],"yyyy-mm")</f>
        <v>2024-11</v>
      </c>
      <c r="V168" s="1" t="str">
        <f>IF(tblSales[[#This Row],[Age]]&lt;25,"18-24",IF(tblSales[[#This Row],[Age]]&lt;35,"25-34",IF(tblSales[[#This Row],[Age]]&lt;45,"35-44",IF(tblSales[[#This Row],[Age]]&lt;55,"45-54","55+"))))</f>
        <v>55+</v>
      </c>
    </row>
    <row r="169" spans="1:22" x14ac:dyDescent="0.3">
      <c r="A169" t="s">
        <v>164</v>
      </c>
      <c r="B169" t="s">
        <v>165</v>
      </c>
      <c r="C169">
        <v>63</v>
      </c>
      <c r="D169" t="s">
        <v>22</v>
      </c>
      <c r="E169" t="s">
        <v>126</v>
      </c>
      <c r="F169" t="s">
        <v>37</v>
      </c>
      <c r="G169" t="s">
        <v>166</v>
      </c>
      <c r="H169" t="s">
        <v>26</v>
      </c>
      <c r="I169" t="s">
        <v>181</v>
      </c>
      <c r="J169" s="1">
        <v>45617.770833333336</v>
      </c>
      <c r="K169">
        <v>2</v>
      </c>
      <c r="L169" s="2">
        <v>5972</v>
      </c>
      <c r="M169" s="2">
        <v>11944</v>
      </c>
      <c r="N169" t="s">
        <v>28</v>
      </c>
      <c r="O169" t="s">
        <v>53</v>
      </c>
      <c r="P169" t="s">
        <v>54</v>
      </c>
      <c r="Q169" t="s">
        <v>31</v>
      </c>
      <c r="R169" t="s">
        <v>32</v>
      </c>
      <c r="S169">
        <v>7</v>
      </c>
      <c r="T169" s="1">
        <v>45639.770833333336</v>
      </c>
      <c r="U169" s="1" t="str">
        <f>TEXT(tblSales[[#This Row],[Purchase Date]],"yyyy-mm")</f>
        <v>2024-11</v>
      </c>
      <c r="V169" s="1" t="str">
        <f>IF(tblSales[[#This Row],[Age]]&lt;25,"18-24",IF(tblSales[[#This Row],[Age]]&lt;35,"25-34",IF(tblSales[[#This Row],[Age]]&lt;45,"35-44",IF(tblSales[[#This Row],[Age]]&lt;55,"45-54","55+"))))</f>
        <v>55+</v>
      </c>
    </row>
    <row r="170" spans="1:22" x14ac:dyDescent="0.3">
      <c r="A170" t="s">
        <v>20</v>
      </c>
      <c r="B170" t="s">
        <v>21</v>
      </c>
      <c r="C170">
        <v>58</v>
      </c>
      <c r="D170" t="s">
        <v>22</v>
      </c>
      <c r="E170" t="s">
        <v>23</v>
      </c>
      <c r="F170" t="s">
        <v>24</v>
      </c>
      <c r="G170" t="s">
        <v>25</v>
      </c>
      <c r="H170" t="s">
        <v>51</v>
      </c>
      <c r="I170" t="s">
        <v>79</v>
      </c>
      <c r="J170" s="1">
        <v>45617.770833333336</v>
      </c>
      <c r="K170">
        <v>1</v>
      </c>
      <c r="L170" s="2">
        <v>66720</v>
      </c>
      <c r="M170" s="2">
        <v>66720</v>
      </c>
      <c r="N170" t="s">
        <v>41</v>
      </c>
      <c r="O170" t="s">
        <v>42</v>
      </c>
      <c r="P170" t="s">
        <v>30</v>
      </c>
      <c r="Q170" t="s">
        <v>31</v>
      </c>
      <c r="R170" t="s">
        <v>32</v>
      </c>
      <c r="S170">
        <v>12</v>
      </c>
      <c r="T170" s="1">
        <v>45653.770833333336</v>
      </c>
      <c r="U170" s="1" t="str">
        <f>TEXT(tblSales[[#This Row],[Purchase Date]],"yyyy-mm")</f>
        <v>2024-11</v>
      </c>
      <c r="V170" s="1" t="str">
        <f>IF(tblSales[[#This Row],[Age]]&lt;25,"18-24",IF(tblSales[[#This Row],[Age]]&lt;35,"25-34",IF(tblSales[[#This Row],[Age]]&lt;45,"35-44",IF(tblSales[[#This Row],[Age]]&lt;55,"45-54","55+"))))</f>
        <v>55+</v>
      </c>
    </row>
    <row r="171" spans="1:22" x14ac:dyDescent="0.3">
      <c r="A171" t="s">
        <v>107</v>
      </c>
      <c r="B171" t="s">
        <v>108</v>
      </c>
      <c r="C171">
        <v>60</v>
      </c>
      <c r="D171" t="s">
        <v>22</v>
      </c>
      <c r="E171" t="s">
        <v>105</v>
      </c>
      <c r="F171" t="s">
        <v>98</v>
      </c>
      <c r="G171" t="s">
        <v>50</v>
      </c>
      <c r="H171" t="s">
        <v>26</v>
      </c>
      <c r="I171" t="s">
        <v>60</v>
      </c>
      <c r="J171" s="1">
        <v>45619.770833333336</v>
      </c>
      <c r="K171">
        <v>2</v>
      </c>
      <c r="L171" s="2">
        <v>3552</v>
      </c>
      <c r="M171" s="2">
        <v>6038.4</v>
      </c>
      <c r="N171" t="s">
        <v>28</v>
      </c>
      <c r="O171" t="s">
        <v>53</v>
      </c>
      <c r="P171" t="s">
        <v>30</v>
      </c>
      <c r="Q171" t="s">
        <v>31</v>
      </c>
      <c r="R171" t="s">
        <v>45</v>
      </c>
      <c r="S171">
        <v>11</v>
      </c>
      <c r="T171" s="1">
        <v>45627.770833333336</v>
      </c>
      <c r="U171" s="1" t="str">
        <f>TEXT(tblSales[[#This Row],[Purchase Date]],"yyyy-mm")</f>
        <v>2024-11</v>
      </c>
      <c r="V171" s="1" t="str">
        <f>IF(tblSales[[#This Row],[Age]]&lt;25,"18-24",IF(tblSales[[#This Row],[Age]]&lt;35,"25-34",IF(tblSales[[#This Row],[Age]]&lt;45,"35-44",IF(tblSales[[#This Row],[Age]]&lt;55,"45-54","55+"))))</f>
        <v>55+</v>
      </c>
    </row>
    <row r="172" spans="1:22" x14ac:dyDescent="0.3">
      <c r="A172" t="s">
        <v>119</v>
      </c>
      <c r="B172" t="s">
        <v>120</v>
      </c>
      <c r="C172">
        <v>20</v>
      </c>
      <c r="D172" t="s">
        <v>22</v>
      </c>
      <c r="E172" t="s">
        <v>36</v>
      </c>
      <c r="F172" t="s">
        <v>37</v>
      </c>
      <c r="G172" t="s">
        <v>121</v>
      </c>
      <c r="H172" t="s">
        <v>93</v>
      </c>
      <c r="I172" t="s">
        <v>159</v>
      </c>
      <c r="J172" s="1">
        <v>45619.770833333336</v>
      </c>
      <c r="K172">
        <v>1</v>
      </c>
      <c r="L172" s="2">
        <v>485</v>
      </c>
      <c r="M172" s="2">
        <v>388</v>
      </c>
      <c r="N172" t="s">
        <v>28</v>
      </c>
      <c r="O172" t="s">
        <v>53</v>
      </c>
      <c r="P172" t="s">
        <v>54</v>
      </c>
      <c r="Q172" t="s">
        <v>31</v>
      </c>
      <c r="R172" t="s">
        <v>45</v>
      </c>
      <c r="S172">
        <v>9</v>
      </c>
      <c r="T172" s="1">
        <v>45619.770833333336</v>
      </c>
      <c r="U172" s="1" t="str">
        <f>TEXT(tblSales[[#This Row],[Purchase Date]],"yyyy-mm")</f>
        <v>2024-11</v>
      </c>
      <c r="V172" s="1" t="str">
        <f>IF(tblSales[[#This Row],[Age]]&lt;25,"18-24",IF(tblSales[[#This Row],[Age]]&lt;35,"25-34",IF(tblSales[[#This Row],[Age]]&lt;45,"35-44",IF(tblSales[[#This Row],[Age]]&lt;55,"45-54","55+"))))</f>
        <v>18-24</v>
      </c>
    </row>
    <row r="173" spans="1:22" x14ac:dyDescent="0.3">
      <c r="A173" t="s">
        <v>65</v>
      </c>
      <c r="B173" t="s">
        <v>66</v>
      </c>
      <c r="C173">
        <v>60</v>
      </c>
      <c r="D173" t="s">
        <v>22</v>
      </c>
      <c r="E173" t="s">
        <v>36</v>
      </c>
      <c r="F173" t="s">
        <v>37</v>
      </c>
      <c r="G173" t="s">
        <v>25</v>
      </c>
      <c r="H173" t="s">
        <v>82</v>
      </c>
      <c r="I173" t="s">
        <v>174</v>
      </c>
      <c r="J173" s="1">
        <v>45619.770833333336</v>
      </c>
      <c r="K173">
        <v>2</v>
      </c>
      <c r="L173" s="2">
        <v>7296</v>
      </c>
      <c r="M173" s="2">
        <v>14592</v>
      </c>
      <c r="N173" t="s">
        <v>28</v>
      </c>
      <c r="O173" t="s">
        <v>42</v>
      </c>
      <c r="P173" t="s">
        <v>43</v>
      </c>
      <c r="Q173" t="s">
        <v>31</v>
      </c>
      <c r="R173" t="s">
        <v>32</v>
      </c>
      <c r="S173">
        <v>6</v>
      </c>
      <c r="T173" s="1">
        <v>45619.770833333336</v>
      </c>
      <c r="U173" s="1" t="str">
        <f>TEXT(tblSales[[#This Row],[Purchase Date]],"yyyy-mm")</f>
        <v>2024-11</v>
      </c>
      <c r="V173" s="1" t="str">
        <f>IF(tblSales[[#This Row],[Age]]&lt;25,"18-24",IF(tblSales[[#This Row],[Age]]&lt;35,"25-34",IF(tblSales[[#This Row],[Age]]&lt;45,"35-44",IF(tblSales[[#This Row],[Age]]&lt;55,"45-54","55+"))))</f>
        <v>55+</v>
      </c>
    </row>
    <row r="174" spans="1:22" x14ac:dyDescent="0.3">
      <c r="A174" t="s">
        <v>147</v>
      </c>
      <c r="B174" t="s">
        <v>148</v>
      </c>
      <c r="C174">
        <v>63</v>
      </c>
      <c r="D174" t="s">
        <v>22</v>
      </c>
      <c r="E174" t="s">
        <v>71</v>
      </c>
      <c r="F174" t="s">
        <v>24</v>
      </c>
      <c r="G174" t="s">
        <v>136</v>
      </c>
      <c r="H174" t="s">
        <v>51</v>
      </c>
      <c r="I174" t="s">
        <v>79</v>
      </c>
      <c r="J174" s="1">
        <v>45620.770833333336</v>
      </c>
      <c r="K174">
        <v>2</v>
      </c>
      <c r="L174" s="2">
        <v>36625</v>
      </c>
      <c r="M174" s="2">
        <v>73250</v>
      </c>
      <c r="N174" t="s">
        <v>28</v>
      </c>
      <c r="O174" t="s">
        <v>53</v>
      </c>
      <c r="P174" t="s">
        <v>30</v>
      </c>
      <c r="Q174" t="s">
        <v>106</v>
      </c>
      <c r="R174" t="s">
        <v>32</v>
      </c>
      <c r="S174">
        <v>2</v>
      </c>
      <c r="T174" s="1">
        <v>45620.770833333336</v>
      </c>
      <c r="U174" s="1" t="str">
        <f>TEXT(tblSales[[#This Row],[Purchase Date]],"yyyy-mm")</f>
        <v>2024-11</v>
      </c>
      <c r="V174" s="1" t="str">
        <f>IF(tblSales[[#This Row],[Age]]&lt;25,"18-24",IF(tblSales[[#This Row],[Age]]&lt;35,"25-34",IF(tblSales[[#This Row],[Age]]&lt;45,"35-44",IF(tblSales[[#This Row],[Age]]&lt;55,"45-54","55+"))))</f>
        <v>55+</v>
      </c>
    </row>
    <row r="175" spans="1:22" x14ac:dyDescent="0.3">
      <c r="A175" t="s">
        <v>160</v>
      </c>
      <c r="B175" t="s">
        <v>161</v>
      </c>
      <c r="C175">
        <v>48</v>
      </c>
      <c r="D175" t="s">
        <v>35</v>
      </c>
      <c r="E175" t="s">
        <v>77</v>
      </c>
      <c r="F175" t="s">
        <v>49</v>
      </c>
      <c r="G175" t="s">
        <v>121</v>
      </c>
      <c r="H175" t="s">
        <v>26</v>
      </c>
      <c r="I175" t="s">
        <v>181</v>
      </c>
      <c r="J175" s="1">
        <v>45621.770833333336</v>
      </c>
      <c r="K175">
        <v>3</v>
      </c>
      <c r="L175" s="2">
        <v>5052</v>
      </c>
      <c r="M175" s="2">
        <v>13640.4</v>
      </c>
      <c r="N175" t="s">
        <v>61</v>
      </c>
      <c r="O175" t="s">
        <v>29</v>
      </c>
      <c r="P175" t="s">
        <v>43</v>
      </c>
      <c r="Q175" t="s">
        <v>106</v>
      </c>
      <c r="R175" t="s">
        <v>45</v>
      </c>
      <c r="S175">
        <v>2</v>
      </c>
      <c r="T175" s="1">
        <v>45621.770833333336</v>
      </c>
      <c r="U175" s="1" t="str">
        <f>TEXT(tblSales[[#This Row],[Purchase Date]],"yyyy-mm")</f>
        <v>2024-11</v>
      </c>
      <c r="V175" s="1" t="str">
        <f>IF(tblSales[[#This Row],[Age]]&lt;25,"18-24",IF(tblSales[[#This Row],[Age]]&lt;35,"25-34",IF(tblSales[[#This Row],[Age]]&lt;45,"35-44",IF(tblSales[[#This Row],[Age]]&lt;55,"45-54","55+"))))</f>
        <v>45-54</v>
      </c>
    </row>
    <row r="176" spans="1:22" x14ac:dyDescent="0.3">
      <c r="A176" t="s">
        <v>142</v>
      </c>
      <c r="B176" t="s">
        <v>143</v>
      </c>
      <c r="C176">
        <v>23</v>
      </c>
      <c r="D176" t="s">
        <v>35</v>
      </c>
      <c r="E176" t="s">
        <v>77</v>
      </c>
      <c r="F176" t="s">
        <v>49</v>
      </c>
      <c r="G176" t="s">
        <v>58</v>
      </c>
      <c r="H176" t="s">
        <v>93</v>
      </c>
      <c r="I176" t="s">
        <v>163</v>
      </c>
      <c r="J176" s="1">
        <v>45622.770833333336</v>
      </c>
      <c r="K176">
        <v>1</v>
      </c>
      <c r="L176" s="2">
        <v>2233</v>
      </c>
      <c r="M176" s="2">
        <v>2233</v>
      </c>
      <c r="N176" t="s">
        <v>68</v>
      </c>
      <c r="O176" t="s">
        <v>42</v>
      </c>
      <c r="P176" t="s">
        <v>43</v>
      </c>
      <c r="Q176" t="s">
        <v>44</v>
      </c>
      <c r="R176" t="s">
        <v>32</v>
      </c>
      <c r="S176">
        <v>3</v>
      </c>
      <c r="T176" s="1">
        <v>45622.770833333336</v>
      </c>
      <c r="U176" s="1" t="str">
        <f>TEXT(tblSales[[#This Row],[Purchase Date]],"yyyy-mm")</f>
        <v>2024-11</v>
      </c>
      <c r="V176" s="1" t="str">
        <f>IF(tblSales[[#This Row],[Age]]&lt;25,"18-24",IF(tblSales[[#This Row],[Age]]&lt;35,"25-34",IF(tblSales[[#This Row],[Age]]&lt;45,"35-44",IF(tblSales[[#This Row],[Age]]&lt;55,"45-54","55+"))))</f>
        <v>18-24</v>
      </c>
    </row>
    <row r="177" spans="1:22" x14ac:dyDescent="0.3">
      <c r="A177" t="s">
        <v>55</v>
      </c>
      <c r="B177" t="s">
        <v>56</v>
      </c>
      <c r="C177">
        <v>36</v>
      </c>
      <c r="D177" t="s">
        <v>22</v>
      </c>
      <c r="E177" t="s">
        <v>57</v>
      </c>
      <c r="F177" t="s">
        <v>37</v>
      </c>
      <c r="G177" t="s">
        <v>58</v>
      </c>
      <c r="H177" t="s">
        <v>73</v>
      </c>
      <c r="I177" t="s">
        <v>137</v>
      </c>
      <c r="J177" s="1">
        <v>45622.770833333336</v>
      </c>
      <c r="K177">
        <v>1</v>
      </c>
      <c r="L177" s="2">
        <v>748</v>
      </c>
      <c r="M177" s="2">
        <v>598.4</v>
      </c>
      <c r="N177" t="s">
        <v>68</v>
      </c>
      <c r="O177" t="s">
        <v>29</v>
      </c>
      <c r="P177" t="s">
        <v>30</v>
      </c>
      <c r="Q177" t="s">
        <v>31</v>
      </c>
      <c r="R177" t="s">
        <v>45</v>
      </c>
      <c r="S177">
        <v>7</v>
      </c>
      <c r="T177" s="1">
        <v>45622.770833333336</v>
      </c>
      <c r="U177" s="1" t="str">
        <f>TEXT(tblSales[[#This Row],[Purchase Date]],"yyyy-mm")</f>
        <v>2024-11</v>
      </c>
      <c r="V177" s="1" t="str">
        <f>IF(tblSales[[#This Row],[Age]]&lt;25,"18-24",IF(tblSales[[#This Row],[Age]]&lt;35,"25-34",IF(tblSales[[#This Row],[Age]]&lt;45,"35-44",IF(tblSales[[#This Row],[Age]]&lt;55,"45-54","55+"))))</f>
        <v>35-44</v>
      </c>
    </row>
    <row r="178" spans="1:22" x14ac:dyDescent="0.3">
      <c r="A178" t="s">
        <v>46</v>
      </c>
      <c r="B178" t="s">
        <v>47</v>
      </c>
      <c r="C178">
        <v>55</v>
      </c>
      <c r="D178" t="s">
        <v>35</v>
      </c>
      <c r="E178" t="s">
        <v>48</v>
      </c>
      <c r="F178" t="s">
        <v>49</v>
      </c>
      <c r="G178" t="s">
        <v>50</v>
      </c>
      <c r="H178" t="s">
        <v>82</v>
      </c>
      <c r="I178" t="s">
        <v>83</v>
      </c>
      <c r="J178" s="1">
        <v>45622.770833333336</v>
      </c>
      <c r="K178">
        <v>3</v>
      </c>
      <c r="L178" s="2">
        <v>2846</v>
      </c>
      <c r="M178" s="2">
        <v>6830.4</v>
      </c>
      <c r="N178" t="s">
        <v>41</v>
      </c>
      <c r="O178" t="s">
        <v>42</v>
      </c>
      <c r="P178" t="s">
        <v>54</v>
      </c>
      <c r="Q178" t="s">
        <v>31</v>
      </c>
      <c r="R178" t="s">
        <v>45</v>
      </c>
      <c r="S178">
        <v>16</v>
      </c>
      <c r="T178" s="1">
        <v>45646.770833333336</v>
      </c>
      <c r="U178" s="1" t="str">
        <f>TEXT(tblSales[[#This Row],[Purchase Date]],"yyyy-mm")</f>
        <v>2024-11</v>
      </c>
      <c r="V178" s="1" t="str">
        <f>IF(tblSales[[#This Row],[Age]]&lt;25,"18-24",IF(tblSales[[#This Row],[Age]]&lt;35,"25-34",IF(tblSales[[#This Row],[Age]]&lt;45,"35-44",IF(tblSales[[#This Row],[Age]]&lt;55,"45-54","55+"))))</f>
        <v>55+</v>
      </c>
    </row>
    <row r="179" spans="1:22" x14ac:dyDescent="0.3">
      <c r="A179" t="s">
        <v>75</v>
      </c>
      <c r="B179" t="s">
        <v>76</v>
      </c>
      <c r="C179">
        <v>60</v>
      </c>
      <c r="D179" t="s">
        <v>22</v>
      </c>
      <c r="E179" t="s">
        <v>77</v>
      </c>
      <c r="F179" t="s">
        <v>49</v>
      </c>
      <c r="G179" t="s">
        <v>78</v>
      </c>
      <c r="H179" t="s">
        <v>39</v>
      </c>
      <c r="I179" t="s">
        <v>144</v>
      </c>
      <c r="J179" s="1">
        <v>45622.770833333336</v>
      </c>
      <c r="K179">
        <v>2</v>
      </c>
      <c r="L179" s="2">
        <v>4600</v>
      </c>
      <c r="M179" s="2">
        <v>9200</v>
      </c>
      <c r="N179" t="s">
        <v>61</v>
      </c>
      <c r="O179" t="s">
        <v>53</v>
      </c>
      <c r="P179" t="s">
        <v>54</v>
      </c>
      <c r="Q179" t="s">
        <v>31</v>
      </c>
      <c r="R179" t="s">
        <v>32</v>
      </c>
      <c r="S179">
        <v>8</v>
      </c>
      <c r="T179" s="1">
        <v>45622.770833333336</v>
      </c>
      <c r="U179" s="1" t="str">
        <f>TEXT(tblSales[[#This Row],[Purchase Date]],"yyyy-mm")</f>
        <v>2024-11</v>
      </c>
      <c r="V179" s="1" t="str">
        <f>IF(tblSales[[#This Row],[Age]]&lt;25,"18-24",IF(tblSales[[#This Row],[Age]]&lt;35,"25-34",IF(tblSales[[#This Row],[Age]]&lt;45,"35-44",IF(tblSales[[#This Row],[Age]]&lt;55,"45-54","55+"))))</f>
        <v>55+</v>
      </c>
    </row>
    <row r="180" spans="1:22" x14ac:dyDescent="0.3">
      <c r="A180" t="s">
        <v>111</v>
      </c>
      <c r="B180" t="s">
        <v>112</v>
      </c>
      <c r="C180">
        <v>27</v>
      </c>
      <c r="D180" t="s">
        <v>22</v>
      </c>
      <c r="E180" t="s">
        <v>113</v>
      </c>
      <c r="F180" t="s">
        <v>24</v>
      </c>
      <c r="G180" t="s">
        <v>78</v>
      </c>
      <c r="H180" t="s">
        <v>73</v>
      </c>
      <c r="I180" t="s">
        <v>122</v>
      </c>
      <c r="J180" s="1">
        <v>45623.770833333336</v>
      </c>
      <c r="K180">
        <v>1</v>
      </c>
      <c r="L180" s="2">
        <v>2510</v>
      </c>
      <c r="M180" s="2">
        <v>2510</v>
      </c>
      <c r="N180" t="s">
        <v>68</v>
      </c>
      <c r="O180" t="s">
        <v>53</v>
      </c>
      <c r="P180" t="s">
        <v>43</v>
      </c>
      <c r="Q180" t="s">
        <v>31</v>
      </c>
      <c r="R180" t="s">
        <v>32</v>
      </c>
      <c r="S180">
        <v>8</v>
      </c>
      <c r="T180" s="1">
        <v>45649.770833333336</v>
      </c>
      <c r="U180" s="1" t="str">
        <f>TEXT(tblSales[[#This Row],[Purchase Date]],"yyyy-mm")</f>
        <v>2024-11</v>
      </c>
      <c r="V180" s="1" t="str">
        <f>IF(tblSales[[#This Row],[Age]]&lt;25,"18-24",IF(tblSales[[#This Row],[Age]]&lt;35,"25-34",IF(tblSales[[#This Row],[Age]]&lt;45,"35-44",IF(tblSales[[#This Row],[Age]]&lt;55,"45-54","55+"))))</f>
        <v>25-34</v>
      </c>
    </row>
    <row r="181" spans="1:22" x14ac:dyDescent="0.3">
      <c r="A181" t="s">
        <v>100</v>
      </c>
      <c r="B181" t="s">
        <v>101</v>
      </c>
      <c r="C181">
        <v>26</v>
      </c>
      <c r="D181" t="s">
        <v>35</v>
      </c>
      <c r="E181" t="s">
        <v>102</v>
      </c>
      <c r="F181" t="s">
        <v>98</v>
      </c>
      <c r="G181" t="s">
        <v>50</v>
      </c>
      <c r="H181" t="s">
        <v>39</v>
      </c>
      <c r="I181" t="s">
        <v>144</v>
      </c>
      <c r="J181" s="1">
        <v>45626.770833333336</v>
      </c>
      <c r="K181">
        <v>1</v>
      </c>
      <c r="L181" s="2">
        <v>3577</v>
      </c>
      <c r="M181" s="2">
        <v>3398.15</v>
      </c>
      <c r="N181" t="s">
        <v>28</v>
      </c>
      <c r="O181" t="s">
        <v>42</v>
      </c>
      <c r="P181" t="s">
        <v>30</v>
      </c>
      <c r="Q181" t="s">
        <v>31</v>
      </c>
      <c r="R181" t="s">
        <v>45</v>
      </c>
      <c r="S181">
        <v>9</v>
      </c>
      <c r="T181" s="1">
        <v>45648.770833333336</v>
      </c>
      <c r="U181" s="1" t="str">
        <f>TEXT(tblSales[[#This Row],[Purchase Date]],"yyyy-mm")</f>
        <v>2024-11</v>
      </c>
      <c r="V181" s="1" t="str">
        <f>IF(tblSales[[#This Row],[Age]]&lt;25,"18-24",IF(tblSales[[#This Row],[Age]]&lt;35,"25-34",IF(tblSales[[#This Row],[Age]]&lt;45,"35-44",IF(tblSales[[#This Row],[Age]]&lt;55,"45-54","55+"))))</f>
        <v>25-34</v>
      </c>
    </row>
    <row r="182" spans="1:22" x14ac:dyDescent="0.3">
      <c r="A182" t="s">
        <v>107</v>
      </c>
      <c r="B182" t="s">
        <v>108</v>
      </c>
      <c r="C182">
        <v>60</v>
      </c>
      <c r="D182" t="s">
        <v>22</v>
      </c>
      <c r="E182" t="s">
        <v>105</v>
      </c>
      <c r="F182" t="s">
        <v>98</v>
      </c>
      <c r="G182" t="s">
        <v>50</v>
      </c>
      <c r="H182" t="s">
        <v>93</v>
      </c>
      <c r="I182" t="s">
        <v>94</v>
      </c>
      <c r="J182" s="1">
        <v>45627.770833333336</v>
      </c>
      <c r="K182">
        <v>1</v>
      </c>
      <c r="L182" s="2">
        <v>1079</v>
      </c>
      <c r="M182" s="2">
        <v>1025.05</v>
      </c>
      <c r="N182" t="s">
        <v>28</v>
      </c>
      <c r="O182" t="s">
        <v>53</v>
      </c>
      <c r="P182" t="s">
        <v>30</v>
      </c>
      <c r="Q182" t="s">
        <v>31</v>
      </c>
      <c r="R182" t="s">
        <v>45</v>
      </c>
      <c r="S182">
        <v>11</v>
      </c>
      <c r="T182" s="1">
        <v>45627.770833333336</v>
      </c>
      <c r="U182" s="1" t="str">
        <f>TEXT(tblSales[[#This Row],[Purchase Date]],"yyyy-mm")</f>
        <v>2024-12</v>
      </c>
      <c r="V182" s="1" t="str">
        <f>IF(tblSales[[#This Row],[Age]]&lt;25,"18-24",IF(tblSales[[#This Row],[Age]]&lt;35,"25-34",IF(tblSales[[#This Row],[Age]]&lt;45,"35-44",IF(tblSales[[#This Row],[Age]]&lt;55,"45-54","55+"))))</f>
        <v>55+</v>
      </c>
    </row>
    <row r="183" spans="1:22" x14ac:dyDescent="0.3">
      <c r="A183" t="s">
        <v>138</v>
      </c>
      <c r="B183" t="s">
        <v>139</v>
      </c>
      <c r="C183">
        <v>60</v>
      </c>
      <c r="D183" t="s">
        <v>35</v>
      </c>
      <c r="E183" t="s">
        <v>105</v>
      </c>
      <c r="F183" t="s">
        <v>98</v>
      </c>
      <c r="G183" t="s">
        <v>72</v>
      </c>
      <c r="H183" t="s">
        <v>51</v>
      </c>
      <c r="I183" t="s">
        <v>79</v>
      </c>
      <c r="J183" s="1">
        <v>45628.770833333336</v>
      </c>
      <c r="K183">
        <v>2</v>
      </c>
      <c r="L183" s="2">
        <v>3565</v>
      </c>
      <c r="M183" s="2">
        <v>6060.5</v>
      </c>
      <c r="N183" t="s">
        <v>28</v>
      </c>
      <c r="O183" t="s">
        <v>42</v>
      </c>
      <c r="P183" t="s">
        <v>43</v>
      </c>
      <c r="Q183" t="s">
        <v>31</v>
      </c>
      <c r="R183" t="s">
        <v>45</v>
      </c>
      <c r="S183">
        <v>5</v>
      </c>
      <c r="T183" s="1">
        <v>45628.770833333336</v>
      </c>
      <c r="U183" s="1" t="str">
        <f>TEXT(tblSales[[#This Row],[Purchase Date]],"yyyy-mm")</f>
        <v>2024-12</v>
      </c>
      <c r="V183" s="1" t="str">
        <f>IF(tblSales[[#This Row],[Age]]&lt;25,"18-24",IF(tblSales[[#This Row],[Age]]&lt;35,"25-34",IF(tblSales[[#This Row],[Age]]&lt;45,"35-44",IF(tblSales[[#This Row],[Age]]&lt;55,"45-54","55+"))))</f>
        <v>55+</v>
      </c>
    </row>
    <row r="184" spans="1:22" x14ac:dyDescent="0.3">
      <c r="A184" t="s">
        <v>20</v>
      </c>
      <c r="B184" t="s">
        <v>21</v>
      </c>
      <c r="C184">
        <v>58</v>
      </c>
      <c r="D184" t="s">
        <v>22</v>
      </c>
      <c r="E184" t="s">
        <v>23</v>
      </c>
      <c r="F184" t="s">
        <v>24</v>
      </c>
      <c r="G184" t="s">
        <v>25</v>
      </c>
      <c r="H184" t="s">
        <v>93</v>
      </c>
      <c r="I184" t="s">
        <v>163</v>
      </c>
      <c r="J184" s="1">
        <v>45632.770833333336</v>
      </c>
      <c r="K184">
        <v>2</v>
      </c>
      <c r="L184" s="2">
        <v>627</v>
      </c>
      <c r="M184" s="2">
        <v>1003.2</v>
      </c>
      <c r="N184" t="s">
        <v>61</v>
      </c>
      <c r="O184" t="s">
        <v>53</v>
      </c>
      <c r="P184" t="s">
        <v>30</v>
      </c>
      <c r="Q184" t="s">
        <v>31</v>
      </c>
      <c r="R184" t="s">
        <v>45</v>
      </c>
      <c r="S184">
        <v>12</v>
      </c>
      <c r="T184" s="1">
        <v>45653.770833333336</v>
      </c>
      <c r="U184" s="1" t="str">
        <f>TEXT(tblSales[[#This Row],[Purchase Date]],"yyyy-mm")</f>
        <v>2024-12</v>
      </c>
      <c r="V184" s="1" t="str">
        <f>IF(tblSales[[#This Row],[Age]]&lt;25,"18-24",IF(tblSales[[#This Row],[Age]]&lt;35,"25-34",IF(tblSales[[#This Row],[Age]]&lt;45,"35-44",IF(tblSales[[#This Row],[Age]]&lt;55,"45-54","55+"))))</f>
        <v>55+</v>
      </c>
    </row>
    <row r="185" spans="1:22" x14ac:dyDescent="0.3">
      <c r="A185" t="s">
        <v>124</v>
      </c>
      <c r="B185" t="s">
        <v>125</v>
      </c>
      <c r="C185">
        <v>40</v>
      </c>
      <c r="D185" t="s">
        <v>35</v>
      </c>
      <c r="E185" t="s">
        <v>126</v>
      </c>
      <c r="F185" t="s">
        <v>37</v>
      </c>
      <c r="G185" t="s">
        <v>72</v>
      </c>
      <c r="H185" t="s">
        <v>93</v>
      </c>
      <c r="I185" t="s">
        <v>149</v>
      </c>
      <c r="J185" s="1">
        <v>45634.770833333336</v>
      </c>
      <c r="K185">
        <v>3</v>
      </c>
      <c r="L185" s="2">
        <v>1971</v>
      </c>
      <c r="M185" s="2">
        <v>5913</v>
      </c>
      <c r="N185" t="s">
        <v>61</v>
      </c>
      <c r="O185" t="s">
        <v>42</v>
      </c>
      <c r="P185" t="s">
        <v>54</v>
      </c>
      <c r="Q185" t="s">
        <v>44</v>
      </c>
      <c r="R185" t="s">
        <v>32</v>
      </c>
      <c r="S185">
        <v>4</v>
      </c>
      <c r="T185" s="1">
        <v>45634.770833333336</v>
      </c>
      <c r="U185" s="1" t="str">
        <f>TEXT(tblSales[[#This Row],[Purchase Date]],"yyyy-mm")</f>
        <v>2024-12</v>
      </c>
      <c r="V185" s="1" t="str">
        <f>IF(tblSales[[#This Row],[Age]]&lt;25,"18-24",IF(tblSales[[#This Row],[Age]]&lt;35,"25-34",IF(tblSales[[#This Row],[Age]]&lt;45,"35-44",IF(tblSales[[#This Row],[Age]]&lt;55,"45-54","55+"))))</f>
        <v>35-44</v>
      </c>
    </row>
    <row r="186" spans="1:22" x14ac:dyDescent="0.3">
      <c r="A186" t="s">
        <v>141</v>
      </c>
      <c r="B186" t="s">
        <v>116</v>
      </c>
      <c r="C186">
        <v>40</v>
      </c>
      <c r="D186" t="s">
        <v>35</v>
      </c>
      <c r="E186" t="s">
        <v>102</v>
      </c>
      <c r="F186" t="s">
        <v>98</v>
      </c>
      <c r="G186" t="s">
        <v>121</v>
      </c>
      <c r="H186" t="s">
        <v>51</v>
      </c>
      <c r="I186" t="s">
        <v>52</v>
      </c>
      <c r="J186" s="1">
        <v>45637.770833333336</v>
      </c>
      <c r="K186">
        <v>2</v>
      </c>
      <c r="L186" s="2">
        <v>62608</v>
      </c>
      <c r="M186" s="2">
        <v>125216</v>
      </c>
      <c r="N186" t="s">
        <v>28</v>
      </c>
      <c r="O186" t="s">
        <v>29</v>
      </c>
      <c r="P186" t="s">
        <v>54</v>
      </c>
      <c r="Q186" t="s">
        <v>44</v>
      </c>
      <c r="R186" t="s">
        <v>32</v>
      </c>
      <c r="S186">
        <v>3</v>
      </c>
      <c r="T186" s="1">
        <v>45637.770833333336</v>
      </c>
      <c r="U186" s="1" t="str">
        <f>TEXT(tblSales[[#This Row],[Purchase Date]],"yyyy-mm")</f>
        <v>2024-12</v>
      </c>
      <c r="V186" s="1" t="str">
        <f>IF(tblSales[[#This Row],[Age]]&lt;25,"18-24",IF(tblSales[[#This Row],[Age]]&lt;35,"25-34",IF(tblSales[[#This Row],[Age]]&lt;45,"35-44",IF(tblSales[[#This Row],[Age]]&lt;55,"45-54","55+"))))</f>
        <v>35-44</v>
      </c>
    </row>
    <row r="187" spans="1:22" x14ac:dyDescent="0.3">
      <c r="A187" t="s">
        <v>172</v>
      </c>
      <c r="B187" t="s">
        <v>173</v>
      </c>
      <c r="C187">
        <v>31</v>
      </c>
      <c r="D187" t="s">
        <v>35</v>
      </c>
      <c r="E187" t="s">
        <v>23</v>
      </c>
      <c r="F187" t="s">
        <v>24</v>
      </c>
      <c r="G187" t="s">
        <v>166</v>
      </c>
      <c r="H187" t="s">
        <v>73</v>
      </c>
      <c r="I187" t="s">
        <v>90</v>
      </c>
      <c r="J187" s="1">
        <v>45638.770833333336</v>
      </c>
      <c r="K187">
        <v>1</v>
      </c>
      <c r="L187" s="2">
        <v>340</v>
      </c>
      <c r="M187" s="2">
        <v>340</v>
      </c>
      <c r="N187" t="s">
        <v>41</v>
      </c>
      <c r="O187" t="s">
        <v>29</v>
      </c>
      <c r="P187" t="s">
        <v>43</v>
      </c>
      <c r="Q187" t="s">
        <v>44</v>
      </c>
      <c r="R187" t="s">
        <v>32</v>
      </c>
      <c r="S187">
        <v>3</v>
      </c>
      <c r="T187" s="1">
        <v>45638.770833333336</v>
      </c>
      <c r="U187" s="1" t="str">
        <f>TEXT(tblSales[[#This Row],[Purchase Date]],"yyyy-mm")</f>
        <v>2024-12</v>
      </c>
      <c r="V187" s="1" t="str">
        <f>IF(tblSales[[#This Row],[Age]]&lt;25,"18-24",IF(tblSales[[#This Row],[Age]]&lt;35,"25-34",IF(tblSales[[#This Row],[Age]]&lt;45,"35-44",IF(tblSales[[#This Row],[Age]]&lt;55,"45-54","55+"))))</f>
        <v>25-34</v>
      </c>
    </row>
    <row r="188" spans="1:22" x14ac:dyDescent="0.3">
      <c r="A188" t="s">
        <v>164</v>
      </c>
      <c r="B188" t="s">
        <v>165</v>
      </c>
      <c r="C188">
        <v>63</v>
      </c>
      <c r="D188" t="s">
        <v>22</v>
      </c>
      <c r="E188" t="s">
        <v>126</v>
      </c>
      <c r="F188" t="s">
        <v>37</v>
      </c>
      <c r="G188" t="s">
        <v>166</v>
      </c>
      <c r="H188" t="s">
        <v>73</v>
      </c>
      <c r="I188" t="s">
        <v>74</v>
      </c>
      <c r="J188" s="1">
        <v>45639.770833333336</v>
      </c>
      <c r="K188">
        <v>1</v>
      </c>
      <c r="L188" s="2">
        <v>311</v>
      </c>
      <c r="M188" s="2">
        <v>311</v>
      </c>
      <c r="N188" t="s">
        <v>28</v>
      </c>
      <c r="O188" t="s">
        <v>42</v>
      </c>
      <c r="P188" t="s">
        <v>54</v>
      </c>
      <c r="Q188" t="s">
        <v>31</v>
      </c>
      <c r="R188" t="s">
        <v>32</v>
      </c>
      <c r="S188">
        <v>7</v>
      </c>
      <c r="T188" s="1">
        <v>45639.770833333336</v>
      </c>
      <c r="U188" s="1" t="str">
        <f>TEXT(tblSales[[#This Row],[Purchase Date]],"yyyy-mm")</f>
        <v>2024-12</v>
      </c>
      <c r="V188" s="1" t="str">
        <f>IF(tblSales[[#This Row],[Age]]&lt;25,"18-24",IF(tblSales[[#This Row],[Age]]&lt;35,"25-34",IF(tblSales[[#This Row],[Age]]&lt;45,"35-44",IF(tblSales[[#This Row],[Age]]&lt;55,"45-54","55+"))))</f>
        <v>55+</v>
      </c>
    </row>
    <row r="189" spans="1:22" x14ac:dyDescent="0.3">
      <c r="A189" t="s">
        <v>46</v>
      </c>
      <c r="B189" t="s">
        <v>47</v>
      </c>
      <c r="C189">
        <v>55</v>
      </c>
      <c r="D189" t="s">
        <v>35</v>
      </c>
      <c r="E189" t="s">
        <v>48</v>
      </c>
      <c r="F189" t="s">
        <v>49</v>
      </c>
      <c r="G189" t="s">
        <v>50</v>
      </c>
      <c r="H189" t="s">
        <v>93</v>
      </c>
      <c r="I189" t="s">
        <v>94</v>
      </c>
      <c r="J189" s="1">
        <v>45639.770833333336</v>
      </c>
      <c r="K189">
        <v>2</v>
      </c>
      <c r="L189" s="2">
        <v>2164</v>
      </c>
      <c r="M189" s="2">
        <v>4328</v>
      </c>
      <c r="N189" t="s">
        <v>99</v>
      </c>
      <c r="O189" t="s">
        <v>53</v>
      </c>
      <c r="P189" t="s">
        <v>54</v>
      </c>
      <c r="Q189" t="s">
        <v>31</v>
      </c>
      <c r="R189" t="s">
        <v>32</v>
      </c>
      <c r="S189">
        <v>16</v>
      </c>
      <c r="T189" s="1">
        <v>45646.770833333336</v>
      </c>
      <c r="U189" s="1" t="str">
        <f>TEXT(tblSales[[#This Row],[Purchase Date]],"yyyy-mm")</f>
        <v>2024-12</v>
      </c>
      <c r="V189" s="1" t="str">
        <f>IF(tblSales[[#This Row],[Age]]&lt;25,"18-24",IF(tblSales[[#This Row],[Age]]&lt;35,"25-34",IF(tblSales[[#This Row],[Age]]&lt;45,"35-44",IF(tblSales[[#This Row],[Age]]&lt;55,"45-54","55+"))))</f>
        <v>55+</v>
      </c>
    </row>
    <row r="190" spans="1:22" x14ac:dyDescent="0.3">
      <c r="A190" t="s">
        <v>46</v>
      </c>
      <c r="B190" t="s">
        <v>47</v>
      </c>
      <c r="C190">
        <v>55</v>
      </c>
      <c r="D190" t="s">
        <v>35</v>
      </c>
      <c r="E190" t="s">
        <v>48</v>
      </c>
      <c r="F190" t="s">
        <v>49</v>
      </c>
      <c r="G190" t="s">
        <v>50</v>
      </c>
      <c r="H190" t="s">
        <v>73</v>
      </c>
      <c r="I190" t="s">
        <v>90</v>
      </c>
      <c r="J190" s="1">
        <v>45639.770833333336</v>
      </c>
      <c r="K190">
        <v>1</v>
      </c>
      <c r="L190" s="2">
        <v>336</v>
      </c>
      <c r="M190" s="2">
        <v>336</v>
      </c>
      <c r="N190" t="s">
        <v>28</v>
      </c>
      <c r="O190" t="s">
        <v>53</v>
      </c>
      <c r="P190" t="s">
        <v>54</v>
      </c>
      <c r="Q190" t="s">
        <v>31</v>
      </c>
      <c r="R190" t="s">
        <v>32</v>
      </c>
      <c r="S190">
        <v>16</v>
      </c>
      <c r="T190" s="1">
        <v>45646.770833333336</v>
      </c>
      <c r="U190" s="1" t="str">
        <f>TEXT(tblSales[[#This Row],[Purchase Date]],"yyyy-mm")</f>
        <v>2024-12</v>
      </c>
      <c r="V190" s="1" t="str">
        <f>IF(tblSales[[#This Row],[Age]]&lt;25,"18-24",IF(tblSales[[#This Row],[Age]]&lt;35,"25-34",IF(tblSales[[#This Row],[Age]]&lt;45,"35-44",IF(tblSales[[#This Row],[Age]]&lt;55,"45-54","55+"))))</f>
        <v>55+</v>
      </c>
    </row>
    <row r="191" spans="1:22" x14ac:dyDescent="0.3">
      <c r="A191" t="s">
        <v>156</v>
      </c>
      <c r="B191" t="s">
        <v>157</v>
      </c>
      <c r="C191">
        <v>39</v>
      </c>
      <c r="D191" t="s">
        <v>22</v>
      </c>
      <c r="E191" t="s">
        <v>158</v>
      </c>
      <c r="F191" t="s">
        <v>24</v>
      </c>
      <c r="G191" t="s">
        <v>136</v>
      </c>
      <c r="H191" t="s">
        <v>39</v>
      </c>
      <c r="I191" t="s">
        <v>129</v>
      </c>
      <c r="J191" s="1">
        <v>45642.770833333336</v>
      </c>
      <c r="K191">
        <v>1</v>
      </c>
      <c r="L191" s="2">
        <v>2771</v>
      </c>
      <c r="M191" s="2">
        <v>2632.45</v>
      </c>
      <c r="N191" t="s">
        <v>28</v>
      </c>
      <c r="O191" t="s">
        <v>42</v>
      </c>
      <c r="P191" t="s">
        <v>43</v>
      </c>
      <c r="Q191" t="s">
        <v>106</v>
      </c>
      <c r="R191" t="s">
        <v>45</v>
      </c>
      <c r="S191">
        <v>2</v>
      </c>
      <c r="T191" s="1">
        <v>45642.770833333336</v>
      </c>
      <c r="U191" s="1" t="str">
        <f>TEXT(tblSales[[#This Row],[Purchase Date]],"yyyy-mm")</f>
        <v>2024-12</v>
      </c>
      <c r="V191" s="1" t="str">
        <f>IF(tblSales[[#This Row],[Age]]&lt;25,"18-24",IF(tblSales[[#This Row],[Age]]&lt;35,"25-34",IF(tblSales[[#This Row],[Age]]&lt;45,"35-44",IF(tblSales[[#This Row],[Age]]&lt;55,"45-54","55+"))))</f>
        <v>35-44</v>
      </c>
    </row>
    <row r="192" spans="1:22" x14ac:dyDescent="0.3">
      <c r="A192" t="s">
        <v>46</v>
      </c>
      <c r="B192" t="s">
        <v>47</v>
      </c>
      <c r="C192">
        <v>55</v>
      </c>
      <c r="D192" t="s">
        <v>35</v>
      </c>
      <c r="E192" t="s">
        <v>48</v>
      </c>
      <c r="F192" t="s">
        <v>49</v>
      </c>
      <c r="G192" t="s">
        <v>50</v>
      </c>
      <c r="H192" t="s">
        <v>39</v>
      </c>
      <c r="I192" t="s">
        <v>129</v>
      </c>
      <c r="J192" s="1">
        <v>45643.770833333336</v>
      </c>
      <c r="K192">
        <v>3</v>
      </c>
      <c r="L192" s="2">
        <v>4089</v>
      </c>
      <c r="M192" s="2">
        <v>12267</v>
      </c>
      <c r="N192" t="s">
        <v>28</v>
      </c>
      <c r="O192" t="s">
        <v>53</v>
      </c>
      <c r="P192" t="s">
        <v>54</v>
      </c>
      <c r="Q192" t="s">
        <v>31</v>
      </c>
      <c r="R192" t="s">
        <v>32</v>
      </c>
      <c r="S192">
        <v>16</v>
      </c>
      <c r="T192" s="1">
        <v>45646.770833333336</v>
      </c>
      <c r="U192" s="1" t="str">
        <f>TEXT(tblSales[[#This Row],[Purchase Date]],"yyyy-mm")</f>
        <v>2024-12</v>
      </c>
      <c r="V192" s="1" t="str">
        <f>IF(tblSales[[#This Row],[Age]]&lt;25,"18-24",IF(tblSales[[#This Row],[Age]]&lt;35,"25-34",IF(tblSales[[#This Row],[Age]]&lt;45,"35-44",IF(tblSales[[#This Row],[Age]]&lt;55,"45-54","55+"))))</f>
        <v>55+</v>
      </c>
    </row>
    <row r="193" spans="1:22" x14ac:dyDescent="0.3">
      <c r="A193" t="s">
        <v>88</v>
      </c>
      <c r="B193" t="s">
        <v>89</v>
      </c>
      <c r="C193">
        <v>48</v>
      </c>
      <c r="D193" t="s">
        <v>35</v>
      </c>
      <c r="E193" t="s">
        <v>48</v>
      </c>
      <c r="F193" t="s">
        <v>49</v>
      </c>
      <c r="G193" t="s">
        <v>64</v>
      </c>
      <c r="H193" t="s">
        <v>93</v>
      </c>
      <c r="I193" t="s">
        <v>163</v>
      </c>
      <c r="J193" s="1">
        <v>45643.770833333336</v>
      </c>
      <c r="K193">
        <v>2</v>
      </c>
      <c r="L193" s="2">
        <v>2858</v>
      </c>
      <c r="M193" s="2">
        <v>5716</v>
      </c>
      <c r="N193" t="s">
        <v>61</v>
      </c>
      <c r="O193" t="s">
        <v>29</v>
      </c>
      <c r="P193" t="s">
        <v>30</v>
      </c>
      <c r="Q193" t="s">
        <v>44</v>
      </c>
      <c r="R193" t="s">
        <v>32</v>
      </c>
      <c r="S193">
        <v>4</v>
      </c>
      <c r="T193" s="1">
        <v>45643.770833333336</v>
      </c>
      <c r="U193" s="1" t="str">
        <f>TEXT(tblSales[[#This Row],[Purchase Date]],"yyyy-mm")</f>
        <v>2024-12</v>
      </c>
      <c r="V193" s="1" t="str">
        <f>IF(tblSales[[#This Row],[Age]]&lt;25,"18-24",IF(tblSales[[#This Row],[Age]]&lt;35,"25-34",IF(tblSales[[#This Row],[Age]]&lt;45,"35-44",IF(tblSales[[#This Row],[Age]]&lt;55,"45-54","55+"))))</f>
        <v>45-54</v>
      </c>
    </row>
    <row r="194" spans="1:22" x14ac:dyDescent="0.3">
      <c r="A194" t="s">
        <v>20</v>
      </c>
      <c r="B194" t="s">
        <v>21</v>
      </c>
      <c r="C194">
        <v>58</v>
      </c>
      <c r="D194" t="s">
        <v>22</v>
      </c>
      <c r="E194" t="s">
        <v>23</v>
      </c>
      <c r="F194" t="s">
        <v>24</v>
      </c>
      <c r="G194" t="s">
        <v>25</v>
      </c>
      <c r="H194" t="s">
        <v>26</v>
      </c>
      <c r="I194" t="s">
        <v>181</v>
      </c>
      <c r="J194" s="1">
        <v>45645.770833333336</v>
      </c>
      <c r="K194">
        <v>1</v>
      </c>
      <c r="L194" s="2">
        <v>1779</v>
      </c>
      <c r="M194" s="2">
        <v>1779</v>
      </c>
      <c r="N194" t="s">
        <v>28</v>
      </c>
      <c r="O194" t="s">
        <v>53</v>
      </c>
      <c r="P194" t="s">
        <v>30</v>
      </c>
      <c r="Q194" t="s">
        <v>31</v>
      </c>
      <c r="R194" t="s">
        <v>32</v>
      </c>
      <c r="S194">
        <v>12</v>
      </c>
      <c r="T194" s="1">
        <v>45653.770833333336</v>
      </c>
      <c r="U194" s="1" t="str">
        <f>TEXT(tblSales[[#This Row],[Purchase Date]],"yyyy-mm")</f>
        <v>2024-12</v>
      </c>
      <c r="V194" s="1" t="str">
        <f>IF(tblSales[[#This Row],[Age]]&lt;25,"18-24",IF(tblSales[[#This Row],[Age]]&lt;35,"25-34",IF(tblSales[[#This Row],[Age]]&lt;45,"35-44",IF(tblSales[[#This Row],[Age]]&lt;55,"45-54","55+"))))</f>
        <v>55+</v>
      </c>
    </row>
    <row r="195" spans="1:22" x14ac:dyDescent="0.3">
      <c r="A195" t="s">
        <v>175</v>
      </c>
      <c r="B195" t="s">
        <v>176</v>
      </c>
      <c r="C195">
        <v>56</v>
      </c>
      <c r="D195" t="s">
        <v>35</v>
      </c>
      <c r="E195" t="s">
        <v>86</v>
      </c>
      <c r="F195" t="s">
        <v>37</v>
      </c>
      <c r="G195" t="s">
        <v>78</v>
      </c>
      <c r="H195" t="s">
        <v>93</v>
      </c>
      <c r="I195" t="s">
        <v>159</v>
      </c>
      <c r="J195" s="1">
        <v>45646.770833333336</v>
      </c>
      <c r="K195">
        <v>1</v>
      </c>
      <c r="L195" s="2">
        <v>1475</v>
      </c>
      <c r="M195" s="2">
        <v>1475</v>
      </c>
      <c r="N195" t="s">
        <v>28</v>
      </c>
      <c r="O195" t="s">
        <v>53</v>
      </c>
      <c r="P195" t="s">
        <v>30</v>
      </c>
      <c r="Q195" t="s">
        <v>31</v>
      </c>
      <c r="R195" t="s">
        <v>32</v>
      </c>
      <c r="S195">
        <v>7</v>
      </c>
      <c r="T195" s="1">
        <v>45646.770833333336</v>
      </c>
      <c r="U195" s="1" t="str">
        <f>TEXT(tblSales[[#This Row],[Purchase Date]],"yyyy-mm")</f>
        <v>2024-12</v>
      </c>
      <c r="V195" s="1" t="str">
        <f>IF(tblSales[[#This Row],[Age]]&lt;25,"18-24",IF(tblSales[[#This Row],[Age]]&lt;35,"25-34",IF(tblSales[[#This Row],[Age]]&lt;45,"35-44",IF(tblSales[[#This Row],[Age]]&lt;55,"45-54","55+"))))</f>
        <v>55+</v>
      </c>
    </row>
    <row r="196" spans="1:22" x14ac:dyDescent="0.3">
      <c r="A196" t="s">
        <v>46</v>
      </c>
      <c r="B196" t="s">
        <v>47</v>
      </c>
      <c r="C196">
        <v>55</v>
      </c>
      <c r="D196" t="s">
        <v>35</v>
      </c>
      <c r="E196" t="s">
        <v>48</v>
      </c>
      <c r="F196" t="s">
        <v>49</v>
      </c>
      <c r="G196" t="s">
        <v>50</v>
      </c>
      <c r="H196" t="s">
        <v>51</v>
      </c>
      <c r="I196" t="s">
        <v>123</v>
      </c>
      <c r="J196" s="1">
        <v>45646.770833333336</v>
      </c>
      <c r="K196">
        <v>2</v>
      </c>
      <c r="L196" s="2">
        <v>51112</v>
      </c>
      <c r="M196" s="2">
        <v>102224</v>
      </c>
      <c r="N196" t="s">
        <v>68</v>
      </c>
      <c r="O196" t="s">
        <v>42</v>
      </c>
      <c r="P196" t="s">
        <v>54</v>
      </c>
      <c r="Q196" t="s">
        <v>31</v>
      </c>
      <c r="R196" t="s">
        <v>32</v>
      </c>
      <c r="S196">
        <v>16</v>
      </c>
      <c r="T196" s="1">
        <v>45646.770833333336</v>
      </c>
      <c r="U196" s="1" t="str">
        <f>TEXT(tblSales[[#This Row],[Purchase Date]],"yyyy-mm")</f>
        <v>2024-12</v>
      </c>
      <c r="V196" s="1" t="str">
        <f>IF(tblSales[[#This Row],[Age]]&lt;25,"18-24",IF(tblSales[[#This Row],[Age]]&lt;35,"25-34",IF(tblSales[[#This Row],[Age]]&lt;45,"35-44",IF(tblSales[[#This Row],[Age]]&lt;55,"45-54","55+"))))</f>
        <v>55+</v>
      </c>
    </row>
    <row r="197" spans="1:22" x14ac:dyDescent="0.3">
      <c r="A197" t="s">
        <v>100</v>
      </c>
      <c r="B197" t="s">
        <v>101</v>
      </c>
      <c r="C197">
        <v>26</v>
      </c>
      <c r="D197" t="s">
        <v>35</v>
      </c>
      <c r="E197" t="s">
        <v>102</v>
      </c>
      <c r="F197" t="s">
        <v>98</v>
      </c>
      <c r="G197" t="s">
        <v>50</v>
      </c>
      <c r="H197" t="s">
        <v>26</v>
      </c>
      <c r="I197" t="s">
        <v>110</v>
      </c>
      <c r="J197" s="1">
        <v>45648.770833333336</v>
      </c>
      <c r="K197">
        <v>2</v>
      </c>
      <c r="L197" s="2">
        <v>742</v>
      </c>
      <c r="M197" s="2">
        <v>1484</v>
      </c>
      <c r="N197" t="s">
        <v>99</v>
      </c>
      <c r="O197" t="s">
        <v>53</v>
      </c>
      <c r="P197" t="s">
        <v>30</v>
      </c>
      <c r="Q197" t="s">
        <v>31</v>
      </c>
      <c r="R197" t="s">
        <v>32</v>
      </c>
      <c r="S197">
        <v>9</v>
      </c>
      <c r="T197" s="1">
        <v>45648.770833333336</v>
      </c>
      <c r="U197" s="1" t="str">
        <f>TEXT(tblSales[[#This Row],[Purchase Date]],"yyyy-mm")</f>
        <v>2024-12</v>
      </c>
      <c r="V197" s="1" t="str">
        <f>IF(tblSales[[#This Row],[Age]]&lt;25,"18-24",IF(tblSales[[#This Row],[Age]]&lt;35,"25-34",IF(tblSales[[#This Row],[Age]]&lt;45,"35-44",IF(tblSales[[#This Row],[Age]]&lt;55,"45-54","55+"))))</f>
        <v>25-34</v>
      </c>
    </row>
    <row r="198" spans="1:22" x14ac:dyDescent="0.3">
      <c r="A198" t="s">
        <v>152</v>
      </c>
      <c r="B198" t="s">
        <v>153</v>
      </c>
      <c r="C198">
        <v>63</v>
      </c>
      <c r="D198" t="s">
        <v>22</v>
      </c>
      <c r="E198" t="s">
        <v>97</v>
      </c>
      <c r="F198" t="s">
        <v>98</v>
      </c>
      <c r="G198" t="s">
        <v>78</v>
      </c>
      <c r="H198" t="s">
        <v>51</v>
      </c>
      <c r="I198" t="s">
        <v>150</v>
      </c>
      <c r="J198" s="1">
        <v>45648.770833333336</v>
      </c>
      <c r="K198">
        <v>1</v>
      </c>
      <c r="L198" s="2">
        <v>8434</v>
      </c>
      <c r="M198" s="2">
        <v>7168.9</v>
      </c>
      <c r="N198" t="s">
        <v>28</v>
      </c>
      <c r="O198" t="s">
        <v>53</v>
      </c>
      <c r="P198" t="s">
        <v>43</v>
      </c>
      <c r="Q198" t="s">
        <v>31</v>
      </c>
      <c r="R198" t="s">
        <v>45</v>
      </c>
      <c r="S198">
        <v>5</v>
      </c>
      <c r="T198" s="1">
        <v>45649.770833333336</v>
      </c>
      <c r="U198" s="1" t="str">
        <f>TEXT(tblSales[[#This Row],[Purchase Date]],"yyyy-mm")</f>
        <v>2024-12</v>
      </c>
      <c r="V198" s="1" t="str">
        <f>IF(tblSales[[#This Row],[Age]]&lt;25,"18-24",IF(tblSales[[#This Row],[Age]]&lt;35,"25-34",IF(tblSales[[#This Row],[Age]]&lt;45,"35-44",IF(tblSales[[#This Row],[Age]]&lt;55,"45-54","55+"))))</f>
        <v>55+</v>
      </c>
    </row>
    <row r="199" spans="1:22" x14ac:dyDescent="0.3">
      <c r="A199" t="s">
        <v>111</v>
      </c>
      <c r="B199" t="s">
        <v>112</v>
      </c>
      <c r="C199">
        <v>27</v>
      </c>
      <c r="D199" t="s">
        <v>22</v>
      </c>
      <c r="E199" t="s">
        <v>113</v>
      </c>
      <c r="F199" t="s">
        <v>24</v>
      </c>
      <c r="G199" t="s">
        <v>78</v>
      </c>
      <c r="H199" t="s">
        <v>26</v>
      </c>
      <c r="I199" t="s">
        <v>60</v>
      </c>
      <c r="J199" s="1">
        <v>45649.770833333336</v>
      </c>
      <c r="K199">
        <v>2</v>
      </c>
      <c r="L199" s="2">
        <v>7035</v>
      </c>
      <c r="M199" s="2">
        <v>14070</v>
      </c>
      <c r="N199" t="s">
        <v>28</v>
      </c>
      <c r="O199" t="s">
        <v>53</v>
      </c>
      <c r="P199" t="s">
        <v>43</v>
      </c>
      <c r="Q199" t="s">
        <v>31</v>
      </c>
      <c r="R199" t="s">
        <v>32</v>
      </c>
      <c r="S199">
        <v>8</v>
      </c>
      <c r="T199" s="1">
        <v>45649.770833333336</v>
      </c>
      <c r="U199" s="1" t="str">
        <f>TEXT(tblSales[[#This Row],[Purchase Date]],"yyyy-mm")</f>
        <v>2024-12</v>
      </c>
      <c r="V199" s="1" t="str">
        <f>IF(tblSales[[#This Row],[Age]]&lt;25,"18-24",IF(tblSales[[#This Row],[Age]]&lt;35,"25-34",IF(tblSales[[#This Row],[Age]]&lt;45,"35-44",IF(tblSales[[#This Row],[Age]]&lt;55,"45-54","55+"))))</f>
        <v>25-34</v>
      </c>
    </row>
    <row r="200" spans="1:22" x14ac:dyDescent="0.3">
      <c r="A200" t="s">
        <v>152</v>
      </c>
      <c r="B200" t="s">
        <v>153</v>
      </c>
      <c r="C200">
        <v>63</v>
      </c>
      <c r="D200" t="s">
        <v>22</v>
      </c>
      <c r="E200" t="s">
        <v>97</v>
      </c>
      <c r="F200" t="s">
        <v>98</v>
      </c>
      <c r="G200" t="s">
        <v>78</v>
      </c>
      <c r="H200" t="s">
        <v>73</v>
      </c>
      <c r="I200" t="s">
        <v>90</v>
      </c>
      <c r="J200" s="1">
        <v>45649.770833333336</v>
      </c>
      <c r="K200">
        <v>1</v>
      </c>
      <c r="L200" s="2">
        <v>1700</v>
      </c>
      <c r="M200" s="2">
        <v>1615</v>
      </c>
      <c r="N200" t="s">
        <v>99</v>
      </c>
      <c r="O200" t="s">
        <v>42</v>
      </c>
      <c r="P200" t="s">
        <v>43</v>
      </c>
      <c r="Q200" t="s">
        <v>31</v>
      </c>
      <c r="R200" t="s">
        <v>45</v>
      </c>
      <c r="S200">
        <v>5</v>
      </c>
      <c r="T200" s="1">
        <v>45649.770833333336</v>
      </c>
      <c r="U200" s="1" t="str">
        <f>TEXT(tblSales[[#This Row],[Purchase Date]],"yyyy-mm")</f>
        <v>2024-12</v>
      </c>
      <c r="V200" s="1" t="str">
        <f>IF(tblSales[[#This Row],[Age]]&lt;25,"18-24",IF(tblSales[[#This Row],[Age]]&lt;35,"25-34",IF(tblSales[[#This Row],[Age]]&lt;45,"35-44",IF(tblSales[[#This Row],[Age]]&lt;55,"45-54","55+"))))</f>
        <v>55+</v>
      </c>
    </row>
    <row r="201" spans="1:22" x14ac:dyDescent="0.3">
      <c r="A201" t="s">
        <v>20</v>
      </c>
      <c r="B201" t="s">
        <v>21</v>
      </c>
      <c r="C201">
        <v>58</v>
      </c>
      <c r="D201" t="s">
        <v>22</v>
      </c>
      <c r="E201" t="s">
        <v>23</v>
      </c>
      <c r="F201" t="s">
        <v>24</v>
      </c>
      <c r="G201" t="s">
        <v>25</v>
      </c>
      <c r="H201" t="s">
        <v>51</v>
      </c>
      <c r="I201" t="s">
        <v>52</v>
      </c>
      <c r="J201" s="1">
        <v>45653.770833333336</v>
      </c>
      <c r="K201">
        <v>1</v>
      </c>
      <c r="L201" s="2">
        <v>13498</v>
      </c>
      <c r="M201" s="2">
        <v>13498</v>
      </c>
      <c r="N201" t="s">
        <v>28</v>
      </c>
      <c r="O201" t="s">
        <v>42</v>
      </c>
      <c r="P201" t="s">
        <v>30</v>
      </c>
      <c r="Q201" t="s">
        <v>31</v>
      </c>
      <c r="R201" t="s">
        <v>32</v>
      </c>
      <c r="S201">
        <v>12</v>
      </c>
      <c r="T201" s="1">
        <v>45653.770833333336</v>
      </c>
      <c r="U201" s="1" t="str">
        <f>TEXT(tblSales[[#This Row],[Purchase Date]],"yyyy-mm")</f>
        <v>2024-12</v>
      </c>
      <c r="V201" s="1" t="str">
        <f>IF(tblSales[[#This Row],[Age]]&lt;25,"18-24",IF(tblSales[[#This Row],[Age]]&lt;35,"25-34",IF(tblSales[[#This Row],[Age]]&lt;45,"35-44",IF(tblSales[[#This Row],[Age]]&lt;55,"45-54","55+"))))</f>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0AE22-5D2B-490C-94A0-4746275316B4}">
  <dimension ref="A1:AE12"/>
  <sheetViews>
    <sheetView workbookViewId="0"/>
  </sheetViews>
  <sheetFormatPr defaultRowHeight="14.4" x14ac:dyDescent="0.3"/>
  <cols>
    <col min="1" max="1" width="12.5546875" bestFit="1" customWidth="1"/>
    <col min="2" max="2" width="23.5546875" bestFit="1" customWidth="1"/>
    <col min="4" max="4" width="12.5546875" bestFit="1" customWidth="1"/>
    <col min="5" max="5" width="23.5546875" bestFit="1" customWidth="1"/>
    <col min="7" max="7" width="12.5546875" bestFit="1" customWidth="1"/>
    <col min="8" max="8" width="23.5546875" bestFit="1" customWidth="1"/>
    <col min="10" max="10" width="12.5546875" bestFit="1" customWidth="1"/>
    <col min="11" max="11" width="23.5546875" bestFit="1" customWidth="1"/>
    <col min="13" max="13" width="12.5546875" bestFit="1" customWidth="1"/>
    <col min="14" max="14" width="23.5546875" bestFit="1" customWidth="1"/>
    <col min="16" max="16" width="12.5546875" bestFit="1" customWidth="1"/>
    <col min="17" max="17" width="23.5546875" bestFit="1" customWidth="1"/>
    <col min="19" max="19" width="14.5546875" bestFit="1" customWidth="1"/>
    <col min="20" max="20" width="23.5546875" bestFit="1" customWidth="1"/>
    <col min="22" max="22" width="12.5546875" bestFit="1" customWidth="1"/>
    <col min="23" max="23" width="17" bestFit="1" customWidth="1"/>
    <col min="25" max="25" width="12.6640625" bestFit="1" customWidth="1"/>
    <col min="26" max="26" width="15.5546875" bestFit="1" customWidth="1"/>
    <col min="27" max="27" width="10" bestFit="1" customWidth="1"/>
    <col min="28" max="28" width="7.44140625" bestFit="1" customWidth="1"/>
    <col min="29" max="29" width="8.77734375" bestFit="1" customWidth="1"/>
    <col min="30" max="30" width="6.5546875" bestFit="1" customWidth="1"/>
    <col min="31" max="32" width="10.77734375" bestFit="1" customWidth="1"/>
  </cols>
  <sheetData>
    <row r="1" spans="1:31" x14ac:dyDescent="0.3">
      <c r="A1" s="3" t="s">
        <v>195</v>
      </c>
      <c r="B1" t="s">
        <v>198</v>
      </c>
      <c r="D1" s="3" t="s">
        <v>195</v>
      </c>
      <c r="E1" t="s">
        <v>198</v>
      </c>
      <c r="G1" s="3" t="s">
        <v>195</v>
      </c>
      <c r="H1" t="s">
        <v>198</v>
      </c>
      <c r="J1" s="3" t="s">
        <v>195</v>
      </c>
      <c r="K1" t="s">
        <v>198</v>
      </c>
      <c r="M1" s="3" t="s">
        <v>195</v>
      </c>
      <c r="N1" t="s">
        <v>198</v>
      </c>
      <c r="P1" s="3" t="s">
        <v>195</v>
      </c>
      <c r="Q1" t="s">
        <v>198</v>
      </c>
      <c r="S1" s="3" t="s">
        <v>195</v>
      </c>
      <c r="T1" t="s">
        <v>198</v>
      </c>
      <c r="V1" s="3" t="s">
        <v>195</v>
      </c>
      <c r="W1" t="s">
        <v>203</v>
      </c>
      <c r="Y1" s="3" t="s">
        <v>205</v>
      </c>
      <c r="Z1" s="3" t="s">
        <v>204</v>
      </c>
    </row>
    <row r="2" spans="1:31" x14ac:dyDescent="0.3">
      <c r="A2" s="4" t="s">
        <v>196</v>
      </c>
      <c r="B2" s="2">
        <v>308462.09999999998</v>
      </c>
      <c r="D2" s="4" t="s">
        <v>51</v>
      </c>
      <c r="E2" s="2">
        <v>254167.4</v>
      </c>
      <c r="G2" s="4" t="s">
        <v>54</v>
      </c>
      <c r="H2" s="2">
        <v>250595</v>
      </c>
      <c r="J2" s="4" t="s">
        <v>98</v>
      </c>
      <c r="K2" s="2">
        <v>142569.44999999998</v>
      </c>
      <c r="M2" s="4" t="s">
        <v>116</v>
      </c>
      <c r="N2" s="2">
        <v>125216</v>
      </c>
      <c r="P2" s="4" t="s">
        <v>199</v>
      </c>
      <c r="Q2" s="2">
        <v>15894</v>
      </c>
      <c r="S2" s="4" t="s">
        <v>28</v>
      </c>
      <c r="T2" s="2">
        <v>185838.9</v>
      </c>
      <c r="V2" s="4" t="s">
        <v>31</v>
      </c>
      <c r="W2" s="5">
        <v>15</v>
      </c>
      <c r="Y2" s="3" t="s">
        <v>195</v>
      </c>
      <c r="Z2" t="s">
        <v>93</v>
      </c>
      <c r="AA2" t="s">
        <v>51</v>
      </c>
      <c r="AB2" t="s">
        <v>26</v>
      </c>
      <c r="AC2" t="s">
        <v>73</v>
      </c>
      <c r="AD2" t="s">
        <v>39</v>
      </c>
      <c r="AE2" t="s">
        <v>197</v>
      </c>
    </row>
    <row r="3" spans="1:31" x14ac:dyDescent="0.3">
      <c r="A3" s="4" t="s">
        <v>197</v>
      </c>
      <c r="B3" s="2">
        <v>308462.09999999998</v>
      </c>
      <c r="D3" s="4" t="s">
        <v>93</v>
      </c>
      <c r="E3" s="2">
        <v>19460.25</v>
      </c>
      <c r="G3" s="4" t="s">
        <v>43</v>
      </c>
      <c r="H3" s="2">
        <v>31886.850000000002</v>
      </c>
      <c r="J3" s="4" t="s">
        <v>49</v>
      </c>
      <c r="K3" s="2">
        <v>124871</v>
      </c>
      <c r="M3" s="4" t="s">
        <v>47</v>
      </c>
      <c r="N3" s="2">
        <v>119155</v>
      </c>
      <c r="P3" s="4" t="s">
        <v>200</v>
      </c>
      <c r="Q3" s="2">
        <v>133761.45000000001</v>
      </c>
      <c r="S3" s="4" t="s">
        <v>68</v>
      </c>
      <c r="T3" s="2">
        <v>102224</v>
      </c>
      <c r="V3" s="4" t="s">
        <v>44</v>
      </c>
      <c r="W3" s="5">
        <v>4</v>
      </c>
      <c r="Y3" s="4" t="s">
        <v>37</v>
      </c>
      <c r="Z3" s="2">
        <v>7388</v>
      </c>
      <c r="AA3" s="2"/>
      <c r="AB3" s="2"/>
      <c r="AC3" s="2">
        <v>311</v>
      </c>
      <c r="AD3" s="2"/>
      <c r="AE3" s="2">
        <v>7699</v>
      </c>
    </row>
    <row r="4" spans="1:31" x14ac:dyDescent="0.3">
      <c r="D4" s="4" t="s">
        <v>26</v>
      </c>
      <c r="E4" s="2">
        <v>17333</v>
      </c>
      <c r="G4" s="4" t="s">
        <v>30</v>
      </c>
      <c r="H4" s="2">
        <v>25980.25</v>
      </c>
      <c r="J4" s="4" t="s">
        <v>24</v>
      </c>
      <c r="K4" s="2">
        <v>33322.65</v>
      </c>
      <c r="M4" s="4" t="s">
        <v>21</v>
      </c>
      <c r="N4" s="2">
        <v>16280.2</v>
      </c>
      <c r="P4" s="4" t="s">
        <v>201</v>
      </c>
      <c r="Q4" s="2">
        <v>5716</v>
      </c>
      <c r="S4" s="4" t="s">
        <v>61</v>
      </c>
      <c r="T4" s="2">
        <v>12632.2</v>
      </c>
      <c r="V4" s="4" t="s">
        <v>106</v>
      </c>
      <c r="W4" s="5">
        <v>1</v>
      </c>
      <c r="Y4" s="4" t="s">
        <v>49</v>
      </c>
      <c r="Z4" s="2">
        <v>10044</v>
      </c>
      <c r="AA4" s="2">
        <v>102224</v>
      </c>
      <c r="AB4" s="2"/>
      <c r="AC4" s="2">
        <v>336</v>
      </c>
      <c r="AD4" s="2">
        <v>12267</v>
      </c>
      <c r="AE4" s="2">
        <v>124871</v>
      </c>
    </row>
    <row r="5" spans="1:31" x14ac:dyDescent="0.3">
      <c r="D5" s="4" t="s">
        <v>39</v>
      </c>
      <c r="E5" s="2">
        <v>14899.45</v>
      </c>
      <c r="G5" s="4" t="s">
        <v>197</v>
      </c>
      <c r="H5" s="2">
        <v>308462.09999999998</v>
      </c>
      <c r="J5" s="4" t="s">
        <v>37</v>
      </c>
      <c r="K5" s="2">
        <v>7699</v>
      </c>
      <c r="M5" s="4" t="s">
        <v>112</v>
      </c>
      <c r="N5" s="2">
        <v>14070</v>
      </c>
      <c r="P5" s="4" t="s">
        <v>202</v>
      </c>
      <c r="Q5" s="2">
        <v>153090.65</v>
      </c>
      <c r="S5" s="4" t="s">
        <v>99</v>
      </c>
      <c r="T5" s="2">
        <v>7427</v>
      </c>
      <c r="V5" s="4" t="s">
        <v>197</v>
      </c>
      <c r="W5" s="5">
        <v>20</v>
      </c>
      <c r="Y5" s="4" t="s">
        <v>24</v>
      </c>
      <c r="Z5" s="2">
        <v>1003.2</v>
      </c>
      <c r="AA5" s="2">
        <v>13498</v>
      </c>
      <c r="AB5" s="2">
        <v>15849</v>
      </c>
      <c r="AC5" s="2">
        <v>340</v>
      </c>
      <c r="AD5" s="2">
        <v>2632.45</v>
      </c>
      <c r="AE5" s="2">
        <v>33322.65</v>
      </c>
    </row>
    <row r="6" spans="1:31" x14ac:dyDescent="0.3">
      <c r="D6" s="4" t="s">
        <v>73</v>
      </c>
      <c r="E6" s="2">
        <v>2602</v>
      </c>
      <c r="J6" s="4" t="s">
        <v>197</v>
      </c>
      <c r="K6" s="2">
        <v>308462.09999999998</v>
      </c>
      <c r="M6" s="4" t="s">
        <v>153</v>
      </c>
      <c r="N6" s="2">
        <v>8783.9</v>
      </c>
      <c r="P6" s="4" t="s">
        <v>197</v>
      </c>
      <c r="Q6" s="2">
        <v>308462.09999999998</v>
      </c>
      <c r="S6" s="4" t="s">
        <v>41</v>
      </c>
      <c r="T6" s="2">
        <v>340</v>
      </c>
      <c r="Y6" s="4" t="s">
        <v>98</v>
      </c>
      <c r="Z6" s="2">
        <v>1025.05</v>
      </c>
      <c r="AA6" s="2">
        <v>138445.4</v>
      </c>
      <c r="AB6" s="2">
        <v>1484</v>
      </c>
      <c r="AC6" s="2">
        <v>1615</v>
      </c>
      <c r="AD6" s="2"/>
      <c r="AE6" s="2">
        <v>142569.44999999998</v>
      </c>
    </row>
    <row r="7" spans="1:31" x14ac:dyDescent="0.3">
      <c r="D7" s="4" t="s">
        <v>197</v>
      </c>
      <c r="E7" s="2">
        <v>308462.10000000003</v>
      </c>
      <c r="M7" s="4" t="s">
        <v>139</v>
      </c>
      <c r="N7" s="2">
        <v>6060.5</v>
      </c>
      <c r="S7" s="4" t="s">
        <v>197</v>
      </c>
      <c r="T7" s="2">
        <v>308462.09999999998</v>
      </c>
      <c r="Y7" s="4" t="s">
        <v>197</v>
      </c>
      <c r="Z7" s="2">
        <v>19460.25</v>
      </c>
      <c r="AA7" s="2">
        <v>254167.4</v>
      </c>
      <c r="AB7" s="2">
        <v>17333</v>
      </c>
      <c r="AC7" s="2">
        <v>2602</v>
      </c>
      <c r="AD7" s="2">
        <v>14899.45</v>
      </c>
      <c r="AE7" s="2">
        <v>308462.09999999998</v>
      </c>
    </row>
    <row r="8" spans="1:31" x14ac:dyDescent="0.3">
      <c r="M8" s="4" t="s">
        <v>125</v>
      </c>
      <c r="N8" s="2">
        <v>5913</v>
      </c>
    </row>
    <row r="9" spans="1:31" x14ac:dyDescent="0.3">
      <c r="M9" s="4" t="s">
        <v>89</v>
      </c>
      <c r="N9" s="2">
        <v>5716</v>
      </c>
    </row>
    <row r="10" spans="1:31" x14ac:dyDescent="0.3">
      <c r="M10" s="4" t="s">
        <v>157</v>
      </c>
      <c r="N10" s="2">
        <v>2632.45</v>
      </c>
    </row>
    <row r="11" spans="1:31" x14ac:dyDescent="0.3">
      <c r="M11" s="4" t="s">
        <v>101</v>
      </c>
      <c r="N11" s="2">
        <v>1484</v>
      </c>
    </row>
    <row r="12" spans="1:31" x14ac:dyDescent="0.3">
      <c r="M12" s="4" t="s">
        <v>197</v>
      </c>
      <c r="N12" s="2">
        <v>305311.05000000005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Atishey</dc:creator>
  <cp:lastModifiedBy>Atishey</cp:lastModifiedBy>
  <dcterms:created xsi:type="dcterms:W3CDTF">2026-06-04T20:08:41Z</dcterms:created>
  <dcterms:modified xsi:type="dcterms:W3CDTF">2026-06-05T12:28:34Z</dcterms:modified>
</cp:coreProperties>
</file>